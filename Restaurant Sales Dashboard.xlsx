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Powerbi\"/>
    </mc:Choice>
  </mc:AlternateContent>
  <xr:revisionPtr revIDLastSave="0" documentId="13_ncr:1_{BA59BED9-6375-4D0A-B9C0-72559D084F0D}" xr6:coauthVersionLast="47" xr6:coauthVersionMax="47" xr10:uidLastSave="{00000000-0000-0000-0000-000000000000}"/>
  <bookViews>
    <workbookView xWindow="-108" yWindow="-108" windowWidth="23256" windowHeight="12456" xr2:uid="{C09BA535-9B0E-4E2F-B34E-6FD1C3E3E06F}"/>
  </bookViews>
  <sheets>
    <sheet name="Pivot_Tables" sheetId="1" r:id="rId1"/>
    <sheet name="Restaurant-Data" sheetId="2" r:id="rId2"/>
    <sheet name="Dashboard" sheetId="3" r:id="rId3"/>
  </sheets>
  <definedNames>
    <definedName name="ExternalData_1" localSheetId="1" hidden="1">'Restaurant-Data'!$A$1:$P$601</definedName>
    <definedName name="Slicer_Customer_Rating">#N/A</definedName>
    <definedName name="Slicer_Delivery_Mode">#N/A</definedName>
    <definedName name="Slicer_Food_Category">#N/A</definedName>
    <definedName name="Slicer_Payment_Method">#N/A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taurant_Data_671f7007-7cd4-40ce-95f0-58a55058bd63" name="Restaurant_Data" connection="Query - Restaurant_Data"/>
        </x15:modelTables>
        <x15:extLst>
          <ext xmlns:x16="http://schemas.microsoft.com/office/spreadsheetml/2014/11/main" uri="{9835A34E-60A6-4A7C-AAB8-D5F71C897F49}">
            <x16:modelTimeGroupings>
              <x16:modelTimeGrouping tableName="Restaurant_Data" columnName="Order_Time" columnId="Order_Time">
                <x16:calculatedTimeColumn columnName="Order_Time (Hour)" columnId="Order_Time (Hour)" contentType="hours" isSelected="1"/>
                <x16:calculatedTimeColumn columnName="Order_Time (Minute)" columnId="Order_Time (Minute)" contentType="minutes" isSelected="1"/>
              </x16:modelTimeGrouping>
              <x16:modelTimeGrouping tableName="Restaurant_Data"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02" i="2" l="1"/>
  <c r="D606" i="2" s="1"/>
  <c r="G602" i="2"/>
  <c r="I602" i="2"/>
  <c r="L6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269B7A-2EC6-4597-8F6E-A72D2CB71D74}" keepAlive="1" name="ModelConnection_ExternalData_1" description="Data Model" type="5" refreshedVersion="8" minRefreshableVersion="5" saveData="1">
    <dbPr connection="Data Model Connection" command="Restaurant_Data" commandType="3"/>
    <extLst>
      <ext xmlns:x15="http://schemas.microsoft.com/office/spreadsheetml/2010/11/main" uri="{DE250136-89BD-433C-8126-D09CA5730AF9}">
        <x15:connection id="" model="1"/>
      </ext>
    </extLst>
  </connection>
  <connection id="2" xr16:uid="{556C213A-7893-420D-B119-C174F3F97C50}" name="Query - Restaurant_Data" description="Connection to the 'Restaurant_Data' query in the workbook." type="100" refreshedVersion="8" minRefreshableVersion="5">
    <extLst>
      <ext xmlns:x15="http://schemas.microsoft.com/office/spreadsheetml/2010/11/main" uri="{DE250136-89BD-433C-8126-D09CA5730AF9}">
        <x15:connection id="47dd9d12-3303-43ac-a988-d05cf4b9a4b0"/>
      </ext>
    </extLst>
  </connection>
  <connection id="3" xr16:uid="{F712AEB5-114D-4053-8273-07546FCC82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<sst xmlns="http://schemas.openxmlformats.org/spreadsheetml/2006/main" count="5478" uniqueCount="1700">
  <si>
    <t>Order_ID</t>
  </si>
  <si>
    <t>Order_Date</t>
  </si>
  <si>
    <t>Order_Time</t>
  </si>
  <si>
    <t>Customer_Name</t>
  </si>
  <si>
    <t>Food_Category</t>
  </si>
  <si>
    <t>Item_Name</t>
  </si>
  <si>
    <t>Quantity</t>
  </si>
  <si>
    <t>Unit_Price</t>
  </si>
  <si>
    <t>Total_Sales</t>
  </si>
  <si>
    <t>Delivery_Mode</t>
  </si>
  <si>
    <t>Payment_Method</t>
  </si>
  <si>
    <t>Customer_Rating</t>
  </si>
  <si>
    <t>RST-10003</t>
  </si>
  <si>
    <t>Lisa Williams</t>
  </si>
  <si>
    <t>Burger</t>
  </si>
  <si>
    <t>Chair</t>
  </si>
  <si>
    <t>Delivery</t>
  </si>
  <si>
    <t>UPI</t>
  </si>
  <si>
    <t>RST-10011</t>
  </si>
  <si>
    <t>James Johnson</t>
  </si>
  <si>
    <t>Drinks</t>
  </si>
  <si>
    <t>When</t>
  </si>
  <si>
    <t>RST-10020</t>
  </si>
  <si>
    <t>Nicole Patton</t>
  </si>
  <si>
    <t>Pasta</t>
  </si>
  <si>
    <t>Deal</t>
  </si>
  <si>
    <t>RST-10035</t>
  </si>
  <si>
    <t>Renee Abbott</t>
  </si>
  <si>
    <t>Recognize</t>
  </si>
  <si>
    <t>RST-10036</t>
  </si>
  <si>
    <t>Kyle Montgomery</t>
  </si>
  <si>
    <t>Dessert</t>
  </si>
  <si>
    <t>Heart</t>
  </si>
  <si>
    <t>RST-10043</t>
  </si>
  <si>
    <t>Lisa Porter</t>
  </si>
  <si>
    <t>Biryani</t>
  </si>
  <si>
    <t>Card</t>
  </si>
  <si>
    <t>RST-10059</t>
  </si>
  <si>
    <t>Jacqueline Avila</t>
  </si>
  <si>
    <t>Increase</t>
  </si>
  <si>
    <t>RST-10070</t>
  </si>
  <si>
    <t>Justin Reed</t>
  </si>
  <si>
    <t>Whole</t>
  </si>
  <si>
    <t>RST-10100</t>
  </si>
  <si>
    <t>Victor Stein</t>
  </si>
  <si>
    <t>Pizza</t>
  </si>
  <si>
    <t>Smile</t>
  </si>
  <si>
    <t>RST-10101</t>
  </si>
  <si>
    <t>Autumn Simon</t>
  </si>
  <si>
    <t>Person</t>
  </si>
  <si>
    <t>RST-10112</t>
  </si>
  <si>
    <t>Bob Ramsey</t>
  </si>
  <si>
    <t>Value</t>
  </si>
  <si>
    <t>RST-10115</t>
  </si>
  <si>
    <t>Bruce Gonzales</t>
  </si>
  <si>
    <t>Their</t>
  </si>
  <si>
    <t>RST-10136</t>
  </si>
  <si>
    <t>Kelly Alexander</t>
  </si>
  <si>
    <t>Raise</t>
  </si>
  <si>
    <t>RST-10151</t>
  </si>
  <si>
    <t>Elizabeth Cox</t>
  </si>
  <si>
    <t>Natural</t>
  </si>
  <si>
    <t>RST-10159</t>
  </si>
  <si>
    <t>Spencer Torres</t>
  </si>
  <si>
    <t>Phone</t>
  </si>
  <si>
    <t>RST-10171</t>
  </si>
  <si>
    <t>Brandon Park</t>
  </si>
  <si>
    <t>Talk</t>
  </si>
  <si>
    <t>RST-10173</t>
  </si>
  <si>
    <t>Candace Watson</t>
  </si>
  <si>
    <t>Power</t>
  </si>
  <si>
    <t>RST-10180</t>
  </si>
  <si>
    <t>George Vaughn</t>
  </si>
  <si>
    <t>Painting</t>
  </si>
  <si>
    <t>RST-10187</t>
  </si>
  <si>
    <t>David Arnold</t>
  </si>
  <si>
    <t>Wide</t>
  </si>
  <si>
    <t>RST-10209</t>
  </si>
  <si>
    <t>Anthony Rodriguez</t>
  </si>
  <si>
    <t>Democratic</t>
  </si>
  <si>
    <t>RST-10213</t>
  </si>
  <si>
    <t>Thomas Whitney</t>
  </si>
  <si>
    <t>Your</t>
  </si>
  <si>
    <t>RST-10219</t>
  </si>
  <si>
    <t>Dennis Obrien</t>
  </si>
  <si>
    <t>Daughter</t>
  </si>
  <si>
    <t>RST-10226</t>
  </si>
  <si>
    <t>Carrie Oliver</t>
  </si>
  <si>
    <t>Son</t>
  </si>
  <si>
    <t>RST-10231</t>
  </si>
  <si>
    <t>Rhonda Bolton</t>
  </si>
  <si>
    <t>Bar</t>
  </si>
  <si>
    <t>RST-10239</t>
  </si>
  <si>
    <t>Douglas Jones</t>
  </si>
  <si>
    <t>Experience</t>
  </si>
  <si>
    <t>RST-10249</t>
  </si>
  <si>
    <t>Sandra Williams</t>
  </si>
  <si>
    <t>House</t>
  </si>
  <si>
    <t>RST-10253</t>
  </si>
  <si>
    <t>Marcus Graham</t>
  </si>
  <si>
    <t>Garden</t>
  </si>
  <si>
    <t>RST-10257</t>
  </si>
  <si>
    <t>Sean Taylor</t>
  </si>
  <si>
    <t>Approach</t>
  </si>
  <si>
    <t>RST-10271</t>
  </si>
  <si>
    <t>Ashley Lowery</t>
  </si>
  <si>
    <t>World</t>
  </si>
  <si>
    <t>RST-10277</t>
  </si>
  <si>
    <t>Elizabeth Lindsey</t>
  </si>
  <si>
    <t>Adult</t>
  </si>
  <si>
    <t>RST-10283</t>
  </si>
  <si>
    <t>Brandi Sharp</t>
  </si>
  <si>
    <t>Short</t>
  </si>
  <si>
    <t>RST-10289</t>
  </si>
  <si>
    <t>Lori Young</t>
  </si>
  <si>
    <t>The</t>
  </si>
  <si>
    <t>RST-10292</t>
  </si>
  <si>
    <t>Cynthia Sims</t>
  </si>
  <si>
    <t>Face</t>
  </si>
  <si>
    <t>RST-10295</t>
  </si>
  <si>
    <t>Hector Diaz</t>
  </si>
  <si>
    <t>Summer</t>
  </si>
  <si>
    <t>RST-10313</t>
  </si>
  <si>
    <t>Wendy Dawson</t>
  </si>
  <si>
    <t>White</t>
  </si>
  <si>
    <t>RST-10315</t>
  </si>
  <si>
    <t>Alicia Cook</t>
  </si>
  <si>
    <t>Door</t>
  </si>
  <si>
    <t>RST-10320</t>
  </si>
  <si>
    <t>Aaron Kent</t>
  </si>
  <si>
    <t>Civil</t>
  </si>
  <si>
    <t>RST-10322</t>
  </si>
  <si>
    <t>Thomas Edwards</t>
  </si>
  <si>
    <t>Bank</t>
  </si>
  <si>
    <t>RST-10328</t>
  </si>
  <si>
    <t>Joshua Johnson</t>
  </si>
  <si>
    <t>Cup</t>
  </si>
  <si>
    <t>RST-10335</t>
  </si>
  <si>
    <t>Dustin Ortiz</t>
  </si>
  <si>
    <t>RST-10341</t>
  </si>
  <si>
    <t>William Miller</t>
  </si>
  <si>
    <t>Necessary</t>
  </si>
  <si>
    <t>RST-10358</t>
  </si>
  <si>
    <t>Karen Harris</t>
  </si>
  <si>
    <t>Particular</t>
  </si>
  <si>
    <t>RST-10371</t>
  </si>
  <si>
    <t>Dennis Bishop</t>
  </si>
  <si>
    <t>Stay</t>
  </si>
  <si>
    <t>RST-10372</t>
  </si>
  <si>
    <t>Samuel Thomas</t>
  </si>
  <si>
    <t>Lot</t>
  </si>
  <si>
    <t>RST-10373</t>
  </si>
  <si>
    <t>Chase Rios</t>
  </si>
  <si>
    <t>So</t>
  </si>
  <si>
    <t>RST-10375</t>
  </si>
  <si>
    <t>Ronald Mendoza</t>
  </si>
  <si>
    <t>Including</t>
  </si>
  <si>
    <t>RST-10376</t>
  </si>
  <si>
    <t>Laura Wilson</t>
  </si>
  <si>
    <t>Voice</t>
  </si>
  <si>
    <t>RST-10391</t>
  </si>
  <si>
    <t>Jessica Vazquez</t>
  </si>
  <si>
    <t>Road</t>
  </si>
  <si>
    <t>RST-10394</t>
  </si>
  <si>
    <t>Kevin Wright</t>
  </si>
  <si>
    <t>Study</t>
  </si>
  <si>
    <t>RST-10400</t>
  </si>
  <si>
    <t>Richard Mullins</t>
  </si>
  <si>
    <t>Conference</t>
  </si>
  <si>
    <t>RST-10405</t>
  </si>
  <si>
    <t>Kenneth Arnold</t>
  </si>
  <si>
    <t>Crime</t>
  </si>
  <si>
    <t>RST-10415</t>
  </si>
  <si>
    <t>Diane Lindsey</t>
  </si>
  <si>
    <t>Mouth</t>
  </si>
  <si>
    <t>RST-10419</t>
  </si>
  <si>
    <t>Joseph Fields</t>
  </si>
  <si>
    <t>Fight</t>
  </si>
  <si>
    <t>RST-10427</t>
  </si>
  <si>
    <t>Raymond Jones</t>
  </si>
  <si>
    <t>Doctor</t>
  </si>
  <si>
    <t>RST-10429</t>
  </si>
  <si>
    <t>Mark Perkins</t>
  </si>
  <si>
    <t>Health</t>
  </si>
  <si>
    <t>RST-10436</t>
  </si>
  <si>
    <t>John Shepherd</t>
  </si>
  <si>
    <t>Check</t>
  </si>
  <si>
    <t>RST-10440</t>
  </si>
  <si>
    <t>Shannon Ayala</t>
  </si>
  <si>
    <t>Scientist</t>
  </si>
  <si>
    <t>RST-10441</t>
  </si>
  <si>
    <t>Elizabeth Hill</t>
  </si>
  <si>
    <t>Prove</t>
  </si>
  <si>
    <t>RST-10473</t>
  </si>
  <si>
    <t>Christopher Cantu</t>
  </si>
  <si>
    <t>Project</t>
  </si>
  <si>
    <t>RST-10493</t>
  </si>
  <si>
    <t>Emily Boyd</t>
  </si>
  <si>
    <t>Describe</t>
  </si>
  <si>
    <t>RST-10501</t>
  </si>
  <si>
    <t>Factor</t>
  </si>
  <si>
    <t>RST-10502</t>
  </si>
  <si>
    <t>Joseph Gray</t>
  </si>
  <si>
    <t>Sound</t>
  </si>
  <si>
    <t>RST-10504</t>
  </si>
  <si>
    <t>Samantha King</t>
  </si>
  <si>
    <t>Red</t>
  </si>
  <si>
    <t>RST-10511</t>
  </si>
  <si>
    <t>Linda Johnson</t>
  </si>
  <si>
    <t>Property</t>
  </si>
  <si>
    <t>RST-10519</t>
  </si>
  <si>
    <t>Sabrina Day</t>
  </si>
  <si>
    <t>Soldier</t>
  </si>
  <si>
    <t>RST-10527</t>
  </si>
  <si>
    <t>David Summers</t>
  </si>
  <si>
    <t>Across</t>
  </si>
  <si>
    <t>RST-10542</t>
  </si>
  <si>
    <t>Jessica Taylor</t>
  </si>
  <si>
    <t>Apply</t>
  </si>
  <si>
    <t>RST-10543</t>
  </si>
  <si>
    <t>Michael Kane</t>
  </si>
  <si>
    <t>Generation</t>
  </si>
  <si>
    <t>RST-10547</t>
  </si>
  <si>
    <t>Stuart Hayes</t>
  </si>
  <si>
    <t>Reduce</t>
  </si>
  <si>
    <t>RST-10557</t>
  </si>
  <si>
    <t>Danielle King</t>
  </si>
  <si>
    <t>Add</t>
  </si>
  <si>
    <t>RST-10558</t>
  </si>
  <si>
    <t>Brenda Anderson</t>
  </si>
  <si>
    <t>Guy</t>
  </si>
  <si>
    <t>RST-10559</t>
  </si>
  <si>
    <t>Chelsea Gibbs</t>
  </si>
  <si>
    <t>Region</t>
  </si>
  <si>
    <t>RST-10571</t>
  </si>
  <si>
    <t>Brandon Allison</t>
  </si>
  <si>
    <t>Thank</t>
  </si>
  <si>
    <t>RST-10574</t>
  </si>
  <si>
    <t>Joanna Williams</t>
  </si>
  <si>
    <t>Agreement</t>
  </si>
  <si>
    <t>RST-10576</t>
  </si>
  <si>
    <t>Jeremiah Moran</t>
  </si>
  <si>
    <t>Song</t>
  </si>
  <si>
    <t>RST-10577</t>
  </si>
  <si>
    <t>Connor Wilson</t>
  </si>
  <si>
    <t>Feel</t>
  </si>
  <si>
    <t>RST-10584</t>
  </si>
  <si>
    <t>Travis Robinson</t>
  </si>
  <si>
    <t>RST-10587</t>
  </si>
  <si>
    <t>Jennifer Davis</t>
  </si>
  <si>
    <t>Majority</t>
  </si>
  <si>
    <t>RST-10598</t>
  </si>
  <si>
    <t>Dwayne Hill</t>
  </si>
  <si>
    <t>Movie</t>
  </si>
  <si>
    <t>RST-10006</t>
  </si>
  <si>
    <t>Heather Allen</t>
  </si>
  <si>
    <t>Dream</t>
  </si>
  <si>
    <t>RST-10007</t>
  </si>
  <si>
    <t>David Stone</t>
  </si>
  <si>
    <t>Follow</t>
  </si>
  <si>
    <t>RST-10018</t>
  </si>
  <si>
    <t>Tammy Rogers</t>
  </si>
  <si>
    <t>Tax</t>
  </si>
  <si>
    <t>RST-10019</t>
  </si>
  <si>
    <t>Pamela Delgado</t>
  </si>
  <si>
    <t>Ground</t>
  </si>
  <si>
    <t>RST-10025</t>
  </si>
  <si>
    <t>Cameron Orozco</t>
  </si>
  <si>
    <t>Lose</t>
  </si>
  <si>
    <t>RST-10028</t>
  </si>
  <si>
    <t>Andrew Rogers</t>
  </si>
  <si>
    <t>RST-10046</t>
  </si>
  <si>
    <t>Brittney Savage</t>
  </si>
  <si>
    <t>Point</t>
  </si>
  <si>
    <t>RST-10061</t>
  </si>
  <si>
    <t>Hannah Nelson</t>
  </si>
  <si>
    <t>Throw</t>
  </si>
  <si>
    <t>RST-10069</t>
  </si>
  <si>
    <t>Ms. Emily Harris MD</t>
  </si>
  <si>
    <t>Direction</t>
  </si>
  <si>
    <t>RST-10071</t>
  </si>
  <si>
    <t>Michelle Ewing</t>
  </si>
  <si>
    <t>Office</t>
  </si>
  <si>
    <t>RST-10073</t>
  </si>
  <si>
    <t>Steven Henry</t>
  </si>
  <si>
    <t>Sister</t>
  </si>
  <si>
    <t>RST-10089</t>
  </si>
  <si>
    <t>Alyssa Wagner</t>
  </si>
  <si>
    <t>Activity</t>
  </si>
  <si>
    <t>RST-10095</t>
  </si>
  <si>
    <t>Krista Patel</t>
  </si>
  <si>
    <t>RST-10126</t>
  </si>
  <si>
    <t>Matthew Doyle</t>
  </si>
  <si>
    <t>Become</t>
  </si>
  <si>
    <t>RST-10130</t>
  </si>
  <si>
    <t>Eric Shah</t>
  </si>
  <si>
    <t>Thus</t>
  </si>
  <si>
    <t>RST-10141</t>
  </si>
  <si>
    <t>Julie Wheeler</t>
  </si>
  <si>
    <t>Media</t>
  </si>
  <si>
    <t>RST-10142</t>
  </si>
  <si>
    <t>James Soto</t>
  </si>
  <si>
    <t>Six</t>
  </si>
  <si>
    <t>RST-10144</t>
  </si>
  <si>
    <t>Neil Russell</t>
  </si>
  <si>
    <t>Rule</t>
  </si>
  <si>
    <t>RST-10145</t>
  </si>
  <si>
    <t>Bryan Carrillo</t>
  </si>
  <si>
    <t>RST-10147</t>
  </si>
  <si>
    <t>Joshua Turner</t>
  </si>
  <si>
    <t>Far</t>
  </si>
  <si>
    <t>RST-10148</t>
  </si>
  <si>
    <t>Barbara Cruz</t>
  </si>
  <si>
    <t>Dark</t>
  </si>
  <si>
    <t>RST-10150</t>
  </si>
  <si>
    <t>Bailey Thomas</t>
  </si>
  <si>
    <t>Cause</t>
  </si>
  <si>
    <t>RST-10152</t>
  </si>
  <si>
    <t>Scott Cardenas</t>
  </si>
  <si>
    <t>Early</t>
  </si>
  <si>
    <t>RST-10153</t>
  </si>
  <si>
    <t>Lisa Doyle DDS</t>
  </si>
  <si>
    <t>Anything</t>
  </si>
  <si>
    <t>RST-10161</t>
  </si>
  <si>
    <t>Christine Reynolds</t>
  </si>
  <si>
    <t>Himself</t>
  </si>
  <si>
    <t>RST-10166</t>
  </si>
  <si>
    <t>Justin Davis</t>
  </si>
  <si>
    <t>Public</t>
  </si>
  <si>
    <t>RST-10170</t>
  </si>
  <si>
    <t>William Price</t>
  </si>
  <si>
    <t>Two</t>
  </si>
  <si>
    <t>RST-10175</t>
  </si>
  <si>
    <t>Brittany Calderon</t>
  </si>
  <si>
    <t>Floor</t>
  </si>
  <si>
    <t>RST-10176</t>
  </si>
  <si>
    <t>Jessica Adams</t>
  </si>
  <si>
    <t>Peace</t>
  </si>
  <si>
    <t>RST-10178</t>
  </si>
  <si>
    <t>Keith Baxter</t>
  </si>
  <si>
    <t>Black</t>
  </si>
  <si>
    <t>RST-10181</t>
  </si>
  <si>
    <t>James Garner</t>
  </si>
  <si>
    <t>Sure</t>
  </si>
  <si>
    <t>RST-10193</t>
  </si>
  <si>
    <t>Miss Teresa Miller MD</t>
  </si>
  <si>
    <t>Prevent</t>
  </si>
  <si>
    <t>RST-10198</t>
  </si>
  <si>
    <t>Marcus Patel</t>
  </si>
  <si>
    <t>Culture</t>
  </si>
  <si>
    <t>RST-10210</t>
  </si>
  <si>
    <t>Sandra Osborne</t>
  </si>
  <si>
    <t>RST-10233</t>
  </si>
  <si>
    <t>Jason Mathis</t>
  </si>
  <si>
    <t>Evening</t>
  </si>
  <si>
    <t>RST-10237</t>
  </si>
  <si>
    <t>Danielle Miller</t>
  </si>
  <si>
    <t>Outside</t>
  </si>
  <si>
    <t>RST-10238</t>
  </si>
  <si>
    <t>Whitney Moore</t>
  </si>
  <si>
    <t>Single</t>
  </si>
  <si>
    <t>RST-10246</t>
  </si>
  <si>
    <t>Bobby Douglas</t>
  </si>
  <si>
    <t>Happy</t>
  </si>
  <si>
    <t>RST-10248</t>
  </si>
  <si>
    <t>Jessica Whitaker</t>
  </si>
  <si>
    <t>Half</t>
  </si>
  <si>
    <t>RST-10258</t>
  </si>
  <si>
    <t>Patricia Rodriguez</t>
  </si>
  <si>
    <t>Where</t>
  </si>
  <si>
    <t>RST-10259</t>
  </si>
  <si>
    <t>Connie Ferguson</t>
  </si>
  <si>
    <t>Machine</t>
  </si>
  <si>
    <t>RST-10260</t>
  </si>
  <si>
    <t>Chase Robles</t>
  </si>
  <si>
    <t>Room</t>
  </si>
  <si>
    <t>RST-10268</t>
  </si>
  <si>
    <t>Catherine Costa</t>
  </si>
  <si>
    <t>Catch</t>
  </si>
  <si>
    <t>RST-10269</t>
  </si>
  <si>
    <t>Dana Steele</t>
  </si>
  <si>
    <t>Move</t>
  </si>
  <si>
    <t>RST-10272</t>
  </si>
  <si>
    <t>Jessica Harvey</t>
  </si>
  <si>
    <t>Method</t>
  </si>
  <si>
    <t>RST-10275</t>
  </si>
  <si>
    <t>Nicole Gamble</t>
  </si>
  <si>
    <t>Build</t>
  </si>
  <si>
    <t>RST-10287</t>
  </si>
  <si>
    <t>Sandy Sutton</t>
  </si>
  <si>
    <t>Wait</t>
  </si>
  <si>
    <t>RST-10288</t>
  </si>
  <si>
    <t>Joseph Smith</t>
  </si>
  <si>
    <t>Behind</t>
  </si>
  <si>
    <t>RST-10298</t>
  </si>
  <si>
    <t>Ms. Megan Ryan DDS</t>
  </si>
  <si>
    <t>Recent</t>
  </si>
  <si>
    <t>RST-10305</t>
  </si>
  <si>
    <t>Beth Church</t>
  </si>
  <si>
    <t>Than</t>
  </si>
  <si>
    <t>RST-10312</t>
  </si>
  <si>
    <t>Tina Dunn</t>
  </si>
  <si>
    <t>Society</t>
  </si>
  <si>
    <t>RST-10324</t>
  </si>
  <si>
    <t>Christina Murray</t>
  </si>
  <si>
    <t>Else</t>
  </si>
  <si>
    <t>RST-10336</t>
  </si>
  <si>
    <t>Tyler Miller</t>
  </si>
  <si>
    <t>RST-10337</t>
  </si>
  <si>
    <t>Nancy Beasley</t>
  </si>
  <si>
    <t>Spend</t>
  </si>
  <si>
    <t>RST-10340</t>
  </si>
  <si>
    <t>Kelly Tucker</t>
  </si>
  <si>
    <t>Lead</t>
  </si>
  <si>
    <t>RST-10353</t>
  </si>
  <si>
    <t>Darrell Townsend</t>
  </si>
  <si>
    <t>RST-10354</t>
  </si>
  <si>
    <t>Jessica Shelton</t>
  </si>
  <si>
    <t>Successful</t>
  </si>
  <si>
    <t>RST-10359</t>
  </si>
  <si>
    <t>Brian Green</t>
  </si>
  <si>
    <t>Hear</t>
  </si>
  <si>
    <t>RST-10370</t>
  </si>
  <si>
    <t>John Alexander</t>
  </si>
  <si>
    <t>Response</t>
  </si>
  <si>
    <t>RST-10407</t>
  </si>
  <si>
    <t>Organization</t>
  </si>
  <si>
    <t>RST-10413</t>
  </si>
  <si>
    <t>Robert Williams</t>
  </si>
  <si>
    <t>Present</t>
  </si>
  <si>
    <t>RST-10433</t>
  </si>
  <si>
    <t>Alyssa Combs</t>
  </si>
  <si>
    <t>Everybody</t>
  </si>
  <si>
    <t>RST-10443</t>
  </si>
  <si>
    <t>Jeff Green</t>
  </si>
  <si>
    <t>Again</t>
  </si>
  <si>
    <t>RST-10446</t>
  </si>
  <si>
    <t>Joyce Walker</t>
  </si>
  <si>
    <t>Decade</t>
  </si>
  <si>
    <t>RST-10458</t>
  </si>
  <si>
    <t>Brian Rice</t>
  </si>
  <si>
    <t>It</t>
  </si>
  <si>
    <t>RST-10460</t>
  </si>
  <si>
    <t>Regina Robertson</t>
  </si>
  <si>
    <t>Final</t>
  </si>
  <si>
    <t>RST-10480</t>
  </si>
  <si>
    <t>Lori Watkins</t>
  </si>
  <si>
    <t>Figure</t>
  </si>
  <si>
    <t>RST-10498</t>
  </si>
  <si>
    <t>Shawn Brooks</t>
  </si>
  <si>
    <t>Action</t>
  </si>
  <si>
    <t>RST-10503</t>
  </si>
  <si>
    <t>Daniel Simon</t>
  </si>
  <si>
    <t>Carry</t>
  </si>
  <si>
    <t>RST-10506</t>
  </si>
  <si>
    <t>Jenny Delgado</t>
  </si>
  <si>
    <t>Mother</t>
  </si>
  <si>
    <t>RST-10532</t>
  </si>
  <si>
    <t>Mrs. Ashley Lee</t>
  </si>
  <si>
    <t>Now</t>
  </si>
  <si>
    <t>RST-10533</t>
  </si>
  <si>
    <t>Mr. Colin Burns</t>
  </si>
  <si>
    <t>Much</t>
  </si>
  <si>
    <t>RST-10554</t>
  </si>
  <si>
    <t>Lisa Hamilton</t>
  </si>
  <si>
    <t>Wife</t>
  </si>
  <si>
    <t>RST-10567</t>
  </si>
  <si>
    <t>Daniel Sherman</t>
  </si>
  <si>
    <t>Letter</t>
  </si>
  <si>
    <t>RST-10580</t>
  </si>
  <si>
    <t>James Anderson</t>
  </si>
  <si>
    <t>Hair</t>
  </si>
  <si>
    <t>RST-10590</t>
  </si>
  <si>
    <t>Sue Bailey</t>
  </si>
  <si>
    <t>Leader</t>
  </si>
  <si>
    <t>RST-10592</t>
  </si>
  <si>
    <t>Megan Mejia</t>
  </si>
  <si>
    <t>Fact</t>
  </si>
  <si>
    <t>RST-10010</t>
  </si>
  <si>
    <t>Blake Peters</t>
  </si>
  <si>
    <t>Pretty</t>
  </si>
  <si>
    <t>Cash</t>
  </si>
  <si>
    <t>RST-10023</t>
  </si>
  <si>
    <t>Jimmy Park</t>
  </si>
  <si>
    <t>RST-10033</t>
  </si>
  <si>
    <t>Richard Meza</t>
  </si>
  <si>
    <t>Message</t>
  </si>
  <si>
    <t>RST-10062</t>
  </si>
  <si>
    <t>Amy Sloan</t>
  </si>
  <si>
    <t>Degree</t>
  </si>
  <si>
    <t>RST-10064</t>
  </si>
  <si>
    <t>Timothy Stanton</t>
  </si>
  <si>
    <t>Statement</t>
  </si>
  <si>
    <t>RST-10076</t>
  </si>
  <si>
    <t>Jesse Johnson</t>
  </si>
  <si>
    <t>Drive</t>
  </si>
  <si>
    <t>RST-10109</t>
  </si>
  <si>
    <t>Danielle Wright</t>
  </si>
  <si>
    <t>Manager</t>
  </si>
  <si>
    <t>RST-10117</t>
  </si>
  <si>
    <t>Matthew Moreno</t>
  </si>
  <si>
    <t>As</t>
  </si>
  <si>
    <t>RST-10137</t>
  </si>
  <si>
    <t>Robert Mercer</t>
  </si>
  <si>
    <t>City</t>
  </si>
  <si>
    <t>RST-10143</t>
  </si>
  <si>
    <t>Jacqueline Mitchell</t>
  </si>
  <si>
    <t>Maintain</t>
  </si>
  <si>
    <t>RST-10169</t>
  </si>
  <si>
    <t>Eric Lee</t>
  </si>
  <si>
    <t>Expert</t>
  </si>
  <si>
    <t>RST-10190</t>
  </si>
  <si>
    <t>Wendy Wyatt</t>
  </si>
  <si>
    <t>Will</t>
  </si>
  <si>
    <t>RST-10200</t>
  </si>
  <si>
    <t>James Mccoy</t>
  </si>
  <si>
    <t>Behavior</t>
  </si>
  <si>
    <t>RST-10203</t>
  </si>
  <si>
    <t>Allison Harris</t>
  </si>
  <si>
    <t>Push</t>
  </si>
  <si>
    <t>RST-10216</t>
  </si>
  <si>
    <t>Cheyenne Wilson</t>
  </si>
  <si>
    <t>Color</t>
  </si>
  <si>
    <t>RST-10218</t>
  </si>
  <si>
    <t>Philip Donovan</t>
  </si>
  <si>
    <t>Campaign</t>
  </si>
  <si>
    <t>RST-10223</t>
  </si>
  <si>
    <t>Adam Frazier</t>
  </si>
  <si>
    <t>Enough</t>
  </si>
  <si>
    <t>RST-10229</t>
  </si>
  <si>
    <t>Tyler Chen</t>
  </si>
  <si>
    <t>Politics</t>
  </si>
  <si>
    <t>RST-10230</t>
  </si>
  <si>
    <t>Amanda Garcia</t>
  </si>
  <si>
    <t>Kid</t>
  </si>
  <si>
    <t>RST-10243</t>
  </si>
  <si>
    <t>Stephanie Jackson MD</t>
  </si>
  <si>
    <t>Particularly</t>
  </si>
  <si>
    <t>RST-10244</t>
  </si>
  <si>
    <t>Amanda Morris</t>
  </si>
  <si>
    <t>Fine</t>
  </si>
  <si>
    <t>RST-10262</t>
  </si>
  <si>
    <t>Lawrence Romero</t>
  </si>
  <si>
    <t>RST-10278</t>
  </si>
  <si>
    <t>John Joyce</t>
  </si>
  <si>
    <t>RST-10301</t>
  </si>
  <si>
    <t>Carol Farrell</t>
  </si>
  <si>
    <t>To</t>
  </si>
  <si>
    <t>RST-10306</t>
  </si>
  <si>
    <t>Jason Dennis</t>
  </si>
  <si>
    <t>Industry</t>
  </si>
  <si>
    <t>RST-10333</t>
  </si>
  <si>
    <t>Cynthia Martinez</t>
  </si>
  <si>
    <t>Skill</t>
  </si>
  <si>
    <t>RST-10338</t>
  </si>
  <si>
    <t>James Ballard</t>
  </si>
  <si>
    <t>Bad</t>
  </si>
  <si>
    <t>RST-10344</t>
  </si>
  <si>
    <t>Danny Reed</t>
  </si>
  <si>
    <t>Because</t>
  </si>
  <si>
    <t>RST-10346</t>
  </si>
  <si>
    <t>Randall Meza</t>
  </si>
  <si>
    <t>Have</t>
  </si>
  <si>
    <t>RST-10360</t>
  </si>
  <si>
    <t>Martha Kirby</t>
  </si>
  <si>
    <t>RST-10380</t>
  </si>
  <si>
    <t>Roger Miller</t>
  </si>
  <si>
    <t>Despite</t>
  </si>
  <si>
    <t>RST-10382</t>
  </si>
  <si>
    <t>Stephanie Banks</t>
  </si>
  <si>
    <t>Business</t>
  </si>
  <si>
    <t>RST-10386</t>
  </si>
  <si>
    <t>Angela Bass</t>
  </si>
  <si>
    <t>Before</t>
  </si>
  <si>
    <t>RST-10388</t>
  </si>
  <si>
    <t>Gloria Elliott</t>
  </si>
  <si>
    <t>Actually</t>
  </si>
  <si>
    <t>RST-10389</t>
  </si>
  <si>
    <t>Brittany Gamble PhD</t>
  </si>
  <si>
    <t>Learn</t>
  </si>
  <si>
    <t>RST-10390</t>
  </si>
  <si>
    <t>Robert Walker</t>
  </si>
  <si>
    <t>Charge</t>
  </si>
  <si>
    <t>RST-10395</t>
  </si>
  <si>
    <t>Daniel Smith</t>
  </si>
  <si>
    <t>Situation</t>
  </si>
  <si>
    <t>RST-10401</t>
  </si>
  <si>
    <t>Katrina Nguyen</t>
  </si>
  <si>
    <t>Too</t>
  </si>
  <si>
    <t>RST-10422</t>
  </si>
  <si>
    <t>Linda Collins</t>
  </si>
  <si>
    <t>RST-10423</t>
  </si>
  <si>
    <t>Allen Stanley</t>
  </si>
  <si>
    <t>Around</t>
  </si>
  <si>
    <t>RST-10461</t>
  </si>
  <si>
    <t>Christina Williamson DVM</t>
  </si>
  <si>
    <t>West</t>
  </si>
  <si>
    <t>RST-10463</t>
  </si>
  <si>
    <t>Allison Baldwin</t>
  </si>
  <si>
    <t>Act</t>
  </si>
  <si>
    <t>RST-10467</t>
  </si>
  <si>
    <t>Mary Marshall</t>
  </si>
  <si>
    <t>Plan</t>
  </si>
  <si>
    <t>RST-10483</t>
  </si>
  <si>
    <t>Laura Bean</t>
  </si>
  <si>
    <t>Four</t>
  </si>
  <si>
    <t>RST-10484</t>
  </si>
  <si>
    <t>James Perez</t>
  </si>
  <si>
    <t>Network</t>
  </si>
  <si>
    <t>RST-10491</t>
  </si>
  <si>
    <t>Sharon Hendricks</t>
  </si>
  <si>
    <t>This</t>
  </si>
  <si>
    <t>RST-10494</t>
  </si>
  <si>
    <t>Jamie Patterson</t>
  </si>
  <si>
    <t>Moment</t>
  </si>
  <si>
    <t>RST-10509</t>
  </si>
  <si>
    <t>Sean Cruz</t>
  </si>
  <si>
    <t>People</t>
  </si>
  <si>
    <t>RST-10510</t>
  </si>
  <si>
    <t>Jonathon Cruz</t>
  </si>
  <si>
    <t>Special</t>
  </si>
  <si>
    <t>RST-10514</t>
  </si>
  <si>
    <t>David Richardson</t>
  </si>
  <si>
    <t>Employee</t>
  </si>
  <si>
    <t>RST-10525</t>
  </si>
  <si>
    <t>Melinda Johnson</t>
  </si>
  <si>
    <t>Thought</t>
  </si>
  <si>
    <t>RST-10538</t>
  </si>
  <si>
    <t>Tim Bailey</t>
  </si>
  <si>
    <t>Great</t>
  </si>
  <si>
    <t>RST-10539</t>
  </si>
  <si>
    <t>Michael Taylor</t>
  </si>
  <si>
    <t>RST-10545</t>
  </si>
  <si>
    <t>Michael Simpson</t>
  </si>
  <si>
    <t>Start</t>
  </si>
  <si>
    <t>RST-10551</t>
  </si>
  <si>
    <t>Hailey Haynes</t>
  </si>
  <si>
    <t>Case</t>
  </si>
  <si>
    <t>RST-10553</t>
  </si>
  <si>
    <t>Lisa Reyes</t>
  </si>
  <si>
    <t>RST-10555</t>
  </si>
  <si>
    <t>William Johnson DVM</t>
  </si>
  <si>
    <t>Admit</t>
  </si>
  <si>
    <t>RST-10573</t>
  </si>
  <si>
    <t>Michael Shelton</t>
  </si>
  <si>
    <t>RST-10578</t>
  </si>
  <si>
    <t>Patricia Lucas</t>
  </si>
  <si>
    <t>Standard</t>
  </si>
  <si>
    <t>RST-10581</t>
  </si>
  <si>
    <t>Jeanette Kirby</t>
  </si>
  <si>
    <t>Listen</t>
  </si>
  <si>
    <t>RST-10589</t>
  </si>
  <si>
    <t>Jonathan Hull</t>
  </si>
  <si>
    <t>Writer</t>
  </si>
  <si>
    <t>RST-10591</t>
  </si>
  <si>
    <t>Jamie Cervantes</t>
  </si>
  <si>
    <t>RST-10595</t>
  </si>
  <si>
    <t>Steve Montgomery</t>
  </si>
  <si>
    <t>Husband</t>
  </si>
  <si>
    <t>RST-10596</t>
  </si>
  <si>
    <t>Robert Bradley</t>
  </si>
  <si>
    <t>Movement</t>
  </si>
  <si>
    <t>RST-10600</t>
  </si>
  <si>
    <t>Jennifer Newton</t>
  </si>
  <si>
    <t>Station</t>
  </si>
  <si>
    <t>RST-10024</t>
  </si>
  <si>
    <t>Michelle Schroeder</t>
  </si>
  <si>
    <t>Them</t>
  </si>
  <si>
    <t>Takeaway</t>
  </si>
  <si>
    <t>RST-10031</t>
  </si>
  <si>
    <t>Sheri Baker</t>
  </si>
  <si>
    <t>RST-10040</t>
  </si>
  <si>
    <t>Robert Farley</t>
  </si>
  <si>
    <t>RST-10042</t>
  </si>
  <si>
    <t>Tiffany Bowen</t>
  </si>
  <si>
    <t>Herself</t>
  </si>
  <si>
    <t>RST-10056</t>
  </si>
  <si>
    <t>Abigail Brooks</t>
  </si>
  <si>
    <t>Prepare</t>
  </si>
  <si>
    <t>RST-10063</t>
  </si>
  <si>
    <t>Veronica West</t>
  </si>
  <si>
    <t>Today</t>
  </si>
  <si>
    <t>RST-10072</t>
  </si>
  <si>
    <t>Matthew Davidson</t>
  </si>
  <si>
    <t>RST-10078</t>
  </si>
  <si>
    <t>Elizabeth Esparza DVM</t>
  </si>
  <si>
    <t>Forget</t>
  </si>
  <si>
    <t>RST-10081</t>
  </si>
  <si>
    <t>Corey Kennedy</t>
  </si>
  <si>
    <t>Light</t>
  </si>
  <si>
    <t>RST-10082</t>
  </si>
  <si>
    <t>Kyle Young</t>
  </si>
  <si>
    <t>RST-10102</t>
  </si>
  <si>
    <t>Travis Hines</t>
  </si>
  <si>
    <t>Just</t>
  </si>
  <si>
    <t>RST-10106</t>
  </si>
  <si>
    <t>Tracy Ford</t>
  </si>
  <si>
    <t>RST-10125</t>
  </si>
  <si>
    <t>Joseph Adams</t>
  </si>
  <si>
    <t>Stage</t>
  </si>
  <si>
    <t>RST-10139</t>
  </si>
  <si>
    <t>Terry Hubbard</t>
  </si>
  <si>
    <t>Write</t>
  </si>
  <si>
    <t>RST-10149</t>
  </si>
  <si>
    <t>Melissa Reed</t>
  </si>
  <si>
    <t>Customer</t>
  </si>
  <si>
    <t>RST-10155</t>
  </si>
  <si>
    <t>Dennis Jones</t>
  </si>
  <si>
    <t>RST-10162</t>
  </si>
  <si>
    <t>Dr. Mary Mccall</t>
  </si>
  <si>
    <t>Material</t>
  </si>
  <si>
    <t>RST-10165</t>
  </si>
  <si>
    <t>Stephanie Moss</t>
  </si>
  <si>
    <t>Series</t>
  </si>
  <si>
    <t>RST-10189</t>
  </si>
  <si>
    <t>William Patel</t>
  </si>
  <si>
    <t>Claim</t>
  </si>
  <si>
    <t>RST-10199</t>
  </si>
  <si>
    <t>James Ramirez</t>
  </si>
  <si>
    <t>Could</t>
  </si>
  <si>
    <t>RST-10222</t>
  </si>
  <si>
    <t>Amy Harrison</t>
  </si>
  <si>
    <t>Bill</t>
  </si>
  <si>
    <t>RST-10227</t>
  </si>
  <si>
    <t>Caitlin Bush</t>
  </si>
  <si>
    <t>One</t>
  </si>
  <si>
    <t>RST-10242</t>
  </si>
  <si>
    <t>Natalie Reid</t>
  </si>
  <si>
    <t>Rock</t>
  </si>
  <si>
    <t>RST-10279</t>
  </si>
  <si>
    <t>Miguel Morton</t>
  </si>
  <si>
    <t>RST-10286</t>
  </si>
  <si>
    <t>April Norris</t>
  </si>
  <si>
    <t>RST-10290</t>
  </si>
  <si>
    <t>Kristen Wilson</t>
  </si>
  <si>
    <t>Right</t>
  </si>
  <si>
    <t>RST-10293</t>
  </si>
  <si>
    <t>Melissa Richardson</t>
  </si>
  <si>
    <t>Training</t>
  </si>
  <si>
    <t>RST-10296</t>
  </si>
  <si>
    <t>Robert Morales</t>
  </si>
  <si>
    <t>Individual</t>
  </si>
  <si>
    <t>RST-10299</t>
  </si>
  <si>
    <t>Michael Franklin</t>
  </si>
  <si>
    <t>RST-10308</t>
  </si>
  <si>
    <t>Crystal Hall</t>
  </si>
  <si>
    <t>Manage</t>
  </si>
  <si>
    <t>RST-10311</t>
  </si>
  <si>
    <t>Timothy Harper</t>
  </si>
  <si>
    <t>Option</t>
  </si>
  <si>
    <t>RST-10330</t>
  </si>
  <si>
    <t>April Nguyen</t>
  </si>
  <si>
    <t>Positive</t>
  </si>
  <si>
    <t>RST-10334</t>
  </si>
  <si>
    <t>Stephanie Pennington</t>
  </si>
  <si>
    <t>Fly</t>
  </si>
  <si>
    <t>RST-10342</t>
  </si>
  <si>
    <t>Scott Harper</t>
  </si>
  <si>
    <t>More</t>
  </si>
  <si>
    <t>RST-10348</t>
  </si>
  <si>
    <t>Robert Sawyer</t>
  </si>
  <si>
    <t>Seat</t>
  </si>
  <si>
    <t>RST-10350</t>
  </si>
  <si>
    <t>Hannah Johnson</t>
  </si>
  <si>
    <t>Body</t>
  </si>
  <si>
    <t>RST-10355</t>
  </si>
  <si>
    <t>Justin Moore</t>
  </si>
  <si>
    <t>Less</t>
  </si>
  <si>
    <t>RST-10362</t>
  </si>
  <si>
    <t>Carmen Martin PhD</t>
  </si>
  <si>
    <t>RST-10367</t>
  </si>
  <si>
    <t>Shannon Wilson</t>
  </si>
  <si>
    <t>RST-10374</t>
  </si>
  <si>
    <t>Emily Wood</t>
  </si>
  <si>
    <t>North</t>
  </si>
  <si>
    <t>RST-10379</t>
  </si>
  <si>
    <t>Danielle Wolfe</t>
  </si>
  <si>
    <t>Pm</t>
  </si>
  <si>
    <t>RST-10392</t>
  </si>
  <si>
    <t>Nathan Daniel</t>
  </si>
  <si>
    <t>RST-10410</t>
  </si>
  <si>
    <t>Samantha Kramer</t>
  </si>
  <si>
    <t>Matter</t>
  </si>
  <si>
    <t>RST-10412</t>
  </si>
  <si>
    <t>Tina Johnson</t>
  </si>
  <si>
    <t>Wall</t>
  </si>
  <si>
    <t>RST-10420</t>
  </si>
  <si>
    <t>Charles Castaneda</t>
  </si>
  <si>
    <t>Decision</t>
  </si>
  <si>
    <t>RST-10437</t>
  </si>
  <si>
    <t>William Peterson</t>
  </si>
  <si>
    <t>Speak</t>
  </si>
  <si>
    <t>RST-10439</t>
  </si>
  <si>
    <t>Carrie Rodriguez</t>
  </si>
  <si>
    <t>Address</t>
  </si>
  <si>
    <t>RST-10450</t>
  </si>
  <si>
    <t>April Mata</t>
  </si>
  <si>
    <t>Similar</t>
  </si>
  <si>
    <t>RST-10468</t>
  </si>
  <si>
    <t>Tamara Roberts</t>
  </si>
  <si>
    <t>Mean</t>
  </si>
  <si>
    <t>RST-10471</t>
  </si>
  <si>
    <t>Tracey Craig</t>
  </si>
  <si>
    <t>Management</t>
  </si>
  <si>
    <t>RST-10472</t>
  </si>
  <si>
    <t>Christian Barry</t>
  </si>
  <si>
    <t>Foot</t>
  </si>
  <si>
    <t>RST-10482</t>
  </si>
  <si>
    <t>Michael Daniel</t>
  </si>
  <si>
    <t>Wonder</t>
  </si>
  <si>
    <t>RST-10487</t>
  </si>
  <si>
    <t>Rachel Andrews</t>
  </si>
  <si>
    <t>Agree</t>
  </si>
  <si>
    <t>RST-10490</t>
  </si>
  <si>
    <t>Katherine Thompson</t>
  </si>
  <si>
    <t>News</t>
  </si>
  <si>
    <t>RST-10499</t>
  </si>
  <si>
    <t>Donna Miller</t>
  </si>
  <si>
    <t>RST-10516</t>
  </si>
  <si>
    <t>Courtney Hernandez</t>
  </si>
  <si>
    <t>We</t>
  </si>
  <si>
    <t>RST-10524</t>
  </si>
  <si>
    <t>Jill Edwards</t>
  </si>
  <si>
    <t>Later</t>
  </si>
  <si>
    <t>RST-10569</t>
  </si>
  <si>
    <t>Lisa Davis</t>
  </si>
  <si>
    <t>Design</t>
  </si>
  <si>
    <t>RST-10572</t>
  </si>
  <si>
    <t>Nicholas Davidson</t>
  </si>
  <si>
    <t>Itself</t>
  </si>
  <si>
    <t>RST-10582</t>
  </si>
  <si>
    <t>Rachel Wright</t>
  </si>
  <si>
    <t>Let</t>
  </si>
  <si>
    <t>RST-10009</t>
  </si>
  <si>
    <t>Tony Mcconnell</t>
  </si>
  <si>
    <t>Central</t>
  </si>
  <si>
    <t>RST-10012</t>
  </si>
  <si>
    <t>Miss Barbara Rodriguez</t>
  </si>
  <si>
    <t>RST-10015</t>
  </si>
  <si>
    <t>Zachary Friedman</t>
  </si>
  <si>
    <t>RST-10029</t>
  </si>
  <si>
    <t>Eugene Dawson</t>
  </si>
  <si>
    <t>RST-10032</t>
  </si>
  <si>
    <t>Caitlin Donaldson</t>
  </si>
  <si>
    <t>RST-10045</t>
  </si>
  <si>
    <t>Dana Brown</t>
  </si>
  <si>
    <t>Administration</t>
  </si>
  <si>
    <t>RST-10054</t>
  </si>
  <si>
    <t>Victoria Mora</t>
  </si>
  <si>
    <t>Until</t>
  </si>
  <si>
    <t>RST-10057</t>
  </si>
  <si>
    <t>Jeremy Tyler</t>
  </si>
  <si>
    <t>System</t>
  </si>
  <si>
    <t>RST-10067</t>
  </si>
  <si>
    <t>Daniel Figueroa</t>
  </si>
  <si>
    <t>RST-10075</t>
  </si>
  <si>
    <t>Christopher Reyes</t>
  </si>
  <si>
    <t>Imagine</t>
  </si>
  <si>
    <t>RST-10093</t>
  </si>
  <si>
    <t>Joseph Kim</t>
  </si>
  <si>
    <t>RST-10094</t>
  </si>
  <si>
    <t>John Smith</t>
  </si>
  <si>
    <t>Piece</t>
  </si>
  <si>
    <t>RST-10099</t>
  </si>
  <si>
    <t>Sara Martin</t>
  </si>
  <si>
    <t>However</t>
  </si>
  <si>
    <t>RST-10104</t>
  </si>
  <si>
    <t>Daniel Thomas</t>
  </si>
  <si>
    <t>Glass</t>
  </si>
  <si>
    <t>RST-10105</t>
  </si>
  <si>
    <t>Tonya Fowler</t>
  </si>
  <si>
    <t>RST-10114</t>
  </si>
  <si>
    <t>Emma Hill</t>
  </si>
  <si>
    <t>Amount</t>
  </si>
  <si>
    <t>RST-10118</t>
  </si>
  <si>
    <t>Amy Pierce</t>
  </si>
  <si>
    <t>RST-10119</t>
  </si>
  <si>
    <t>Autumn Foster</t>
  </si>
  <si>
    <t>Nearly</t>
  </si>
  <si>
    <t>RST-10120</t>
  </si>
  <si>
    <t>Karen Combs</t>
  </si>
  <si>
    <t>RST-10146</t>
  </si>
  <si>
    <t>Maria Oliver</t>
  </si>
  <si>
    <t>Blue</t>
  </si>
  <si>
    <t>RST-10172</t>
  </si>
  <si>
    <t>David Nguyen</t>
  </si>
  <si>
    <t>Cover</t>
  </si>
  <si>
    <t>RST-10174</t>
  </si>
  <si>
    <t>Amanda Williams</t>
  </si>
  <si>
    <t>Pull</t>
  </si>
  <si>
    <t>RST-10186</t>
  </si>
  <si>
    <t>Charles Santos</t>
  </si>
  <si>
    <t>Remember</t>
  </si>
  <si>
    <t>RST-10201</t>
  </si>
  <si>
    <t>Summer Cooper</t>
  </si>
  <si>
    <t>Result</t>
  </si>
  <si>
    <t>RST-10202</t>
  </si>
  <si>
    <t>Tara Gonzalez</t>
  </si>
  <si>
    <t>Popular</t>
  </si>
  <si>
    <t>RST-10206</t>
  </si>
  <si>
    <t>Katrina Mcdaniel</t>
  </si>
  <si>
    <t>Must</t>
  </si>
  <si>
    <t>RST-10212</t>
  </si>
  <si>
    <t>Paula Davis</t>
  </si>
  <si>
    <t>Benefit</t>
  </si>
  <si>
    <t>RST-10215</t>
  </si>
  <si>
    <t>Michael Keller</t>
  </si>
  <si>
    <t>Treatment</t>
  </si>
  <si>
    <t>RST-10217</t>
  </si>
  <si>
    <t>Katherine Meadows</t>
  </si>
  <si>
    <t>Him</t>
  </si>
  <si>
    <t>RST-10235</t>
  </si>
  <si>
    <t>Christina Jacobs</t>
  </si>
  <si>
    <t>Cost</t>
  </si>
  <si>
    <t>RST-10241</t>
  </si>
  <si>
    <t>Rebecca Farmer</t>
  </si>
  <si>
    <t>RST-10252</t>
  </si>
  <si>
    <t>John Williams</t>
  </si>
  <si>
    <t>For</t>
  </si>
  <si>
    <t>RST-10266</t>
  </si>
  <si>
    <t>Thomas Berry</t>
  </si>
  <si>
    <t>Between</t>
  </si>
  <si>
    <t>RST-10280</t>
  </si>
  <si>
    <t>Sherri Williams</t>
  </si>
  <si>
    <t>RST-10331</t>
  </si>
  <si>
    <t>Karen Smith</t>
  </si>
  <si>
    <t>Coach</t>
  </si>
  <si>
    <t>RST-10332</t>
  </si>
  <si>
    <t>Michael Cox</t>
  </si>
  <si>
    <t>Education</t>
  </si>
  <si>
    <t>RST-10343</t>
  </si>
  <si>
    <t>Shane Perry</t>
  </si>
  <si>
    <t>RST-10351</t>
  </si>
  <si>
    <t>Travis Aguilar</t>
  </si>
  <si>
    <t>Market</t>
  </si>
  <si>
    <t>RST-10357</t>
  </si>
  <si>
    <t>Katherine Moore</t>
  </si>
  <si>
    <t>Tend</t>
  </si>
  <si>
    <t>RST-10361</t>
  </si>
  <si>
    <t>Troy Shelton</t>
  </si>
  <si>
    <t>Hundred</t>
  </si>
  <si>
    <t>RST-10364</t>
  </si>
  <si>
    <t>Andrea Griffin</t>
  </si>
  <si>
    <t>RST-10365</t>
  </si>
  <si>
    <t>Robert Smith</t>
  </si>
  <si>
    <t>RST-10366</t>
  </si>
  <si>
    <t>Nicole Collier</t>
  </si>
  <si>
    <t>RST-10378</t>
  </si>
  <si>
    <t>Adam Schmidt</t>
  </si>
  <si>
    <t>Order</t>
  </si>
  <si>
    <t>RST-10402</t>
  </si>
  <si>
    <t>James Smith</t>
  </si>
  <si>
    <t>Compare</t>
  </si>
  <si>
    <t>RST-10404</t>
  </si>
  <si>
    <t>Martin Sutton</t>
  </si>
  <si>
    <t>RST-10416</t>
  </si>
  <si>
    <t>Andrew Tucker</t>
  </si>
  <si>
    <t>Relate</t>
  </si>
  <si>
    <t>RST-10418</t>
  </si>
  <si>
    <t>Dawn Garner</t>
  </si>
  <si>
    <t>Find</t>
  </si>
  <si>
    <t>RST-10430</t>
  </si>
  <si>
    <t>Kathryn Bray</t>
  </si>
  <si>
    <t>Join</t>
  </si>
  <si>
    <t>RST-10448</t>
  </si>
  <si>
    <t>Erin Moore</t>
  </si>
  <si>
    <t>RST-10462</t>
  </si>
  <si>
    <t>Julie White</t>
  </si>
  <si>
    <t>RST-10479</t>
  </si>
  <si>
    <t>Emily Ruiz MD</t>
  </si>
  <si>
    <t>RST-10489</t>
  </si>
  <si>
    <t>Pedro Obrien</t>
  </si>
  <si>
    <t>Event</t>
  </si>
  <si>
    <t>RST-10521</t>
  </si>
  <si>
    <t>Tanner Stephens</t>
  </si>
  <si>
    <t>Hope</t>
  </si>
  <si>
    <t>RST-10526</t>
  </si>
  <si>
    <t>Garrett Robinson</t>
  </si>
  <si>
    <t>Bed</t>
  </si>
  <si>
    <t>RST-10529</t>
  </si>
  <si>
    <t>Valerie Cortez</t>
  </si>
  <si>
    <t>Process</t>
  </si>
  <si>
    <t>RST-10530</t>
  </si>
  <si>
    <t>Chloe Casey</t>
  </si>
  <si>
    <t>RST-10537</t>
  </si>
  <si>
    <t>Jared Reid</t>
  </si>
  <si>
    <t>Nothing</t>
  </si>
  <si>
    <t>RST-10541</t>
  </si>
  <si>
    <t>Jeremy Elliott</t>
  </si>
  <si>
    <t>Look</t>
  </si>
  <si>
    <t>RST-10552</t>
  </si>
  <si>
    <t>Mary Cochran</t>
  </si>
  <si>
    <t>Team</t>
  </si>
  <si>
    <t>RST-10561</t>
  </si>
  <si>
    <t>Steven Macdonald</t>
  </si>
  <si>
    <t>RST-10562</t>
  </si>
  <si>
    <t>Kirk Fletcher</t>
  </si>
  <si>
    <t>By</t>
  </si>
  <si>
    <t>RST-10563</t>
  </si>
  <si>
    <t>Kimberly Davis</t>
  </si>
  <si>
    <t>RST-10583</t>
  </si>
  <si>
    <t>Ryan Cooper</t>
  </si>
  <si>
    <t>Although</t>
  </si>
  <si>
    <t>RST-10594</t>
  </si>
  <si>
    <t>Audrey Woodward</t>
  </si>
  <si>
    <t>RST-10597</t>
  </si>
  <si>
    <t>Daisy Morgan</t>
  </si>
  <si>
    <t>Collection</t>
  </si>
  <si>
    <t>RST-10017</t>
  </si>
  <si>
    <t>Katherine Foley</t>
  </si>
  <si>
    <t>Foreign</t>
  </si>
  <si>
    <t>RST-10030</t>
  </si>
  <si>
    <t>Christina Mills</t>
  </si>
  <si>
    <t>Future</t>
  </si>
  <si>
    <t>RST-10039</t>
  </si>
  <si>
    <t>Lee Smith</t>
  </si>
  <si>
    <t>RST-10044</t>
  </si>
  <si>
    <t>Robert Nelson</t>
  </si>
  <si>
    <t>RST-10048</t>
  </si>
  <si>
    <t>Alexander Jackson</t>
  </si>
  <si>
    <t>RST-10051</t>
  </si>
  <si>
    <t>Carol Fox</t>
  </si>
  <si>
    <t>History</t>
  </si>
  <si>
    <t>RST-10060</t>
  </si>
  <si>
    <t>Shelby Chan</t>
  </si>
  <si>
    <t>Reach</t>
  </si>
  <si>
    <t>RST-10065</t>
  </si>
  <si>
    <t>John Mosley</t>
  </si>
  <si>
    <t>RST-10077</t>
  </si>
  <si>
    <t>Whitney Smith</t>
  </si>
  <si>
    <t>RST-10085</t>
  </si>
  <si>
    <t>Robert Hernandez</t>
  </si>
  <si>
    <t>They</t>
  </si>
  <si>
    <t>RST-10087</t>
  </si>
  <si>
    <t>Joshua Carpenter</t>
  </si>
  <si>
    <t>Ago</t>
  </si>
  <si>
    <t>RST-10088</t>
  </si>
  <si>
    <t>Dawn Foster</t>
  </si>
  <si>
    <t>Her</t>
  </si>
  <si>
    <t>RST-10092</t>
  </si>
  <si>
    <t>Kayla Simmons</t>
  </si>
  <si>
    <t>Without</t>
  </si>
  <si>
    <t>RST-10096</t>
  </si>
  <si>
    <t>Derrick Mahoney</t>
  </si>
  <si>
    <t>Cold</t>
  </si>
  <si>
    <t>RST-10098</t>
  </si>
  <si>
    <t>Brett Bernard</t>
  </si>
  <si>
    <t>From</t>
  </si>
  <si>
    <t>RST-10108</t>
  </si>
  <si>
    <t>Marcus Snyder</t>
  </si>
  <si>
    <t>Bit</t>
  </si>
  <si>
    <t>RST-10111</t>
  </si>
  <si>
    <t>Jeremy Mckinney</t>
  </si>
  <si>
    <t>She</t>
  </si>
  <si>
    <t>RST-10116</t>
  </si>
  <si>
    <t>Ronald Bryant</t>
  </si>
  <si>
    <t>RST-10127</t>
  </si>
  <si>
    <t>Jacqueline Newton</t>
  </si>
  <si>
    <t>Hot</t>
  </si>
  <si>
    <t>RST-10129</t>
  </si>
  <si>
    <t>Courtney Lewis DDS</t>
  </si>
  <si>
    <t>RST-10132</t>
  </si>
  <si>
    <t>Bryan Rogers</t>
  </si>
  <si>
    <t>RST-10168</t>
  </si>
  <si>
    <t>Darryl Wilson</t>
  </si>
  <si>
    <t>RST-10184</t>
  </si>
  <si>
    <t>Ryan Garcia</t>
  </si>
  <si>
    <t>RST-10192</t>
  </si>
  <si>
    <t>Joseph Gutierrez</t>
  </si>
  <si>
    <t>Sort</t>
  </si>
  <si>
    <t>RST-10194</t>
  </si>
  <si>
    <t>Rhonda Nelson</t>
  </si>
  <si>
    <t>Star</t>
  </si>
  <si>
    <t>RST-10196</t>
  </si>
  <si>
    <t>Cynthia Knox</t>
  </si>
  <si>
    <t>Role</t>
  </si>
  <si>
    <t>RST-10205</t>
  </si>
  <si>
    <t>Kevin West</t>
  </si>
  <si>
    <t>Ten</t>
  </si>
  <si>
    <t>RST-10234</t>
  </si>
  <si>
    <t>Jason Hurst</t>
  </si>
  <si>
    <t>True</t>
  </si>
  <si>
    <t>RST-10236</t>
  </si>
  <si>
    <t>James Myers</t>
  </si>
  <si>
    <t>RST-10240</t>
  </si>
  <si>
    <t>Scott Love</t>
  </si>
  <si>
    <t>Morning</t>
  </si>
  <si>
    <t>RST-10263</t>
  </si>
  <si>
    <t>Manuel Johnson</t>
  </si>
  <si>
    <t>American</t>
  </si>
  <si>
    <t>RST-10265</t>
  </si>
  <si>
    <t>Mrs. Jody Wilson</t>
  </si>
  <si>
    <t>RST-10270</t>
  </si>
  <si>
    <t>Stephanie Gonzalez</t>
  </si>
  <si>
    <t>RST-10281</t>
  </si>
  <si>
    <t>Todd Butler</t>
  </si>
  <si>
    <t>RST-10282</t>
  </si>
  <si>
    <t>Rachael Tucker</t>
  </si>
  <si>
    <t>RST-10285</t>
  </si>
  <si>
    <t>Hailey Harris</t>
  </si>
  <si>
    <t>Force</t>
  </si>
  <si>
    <t>RST-10291</t>
  </si>
  <si>
    <t>Benjamin Davis</t>
  </si>
  <si>
    <t>Thousand</t>
  </si>
  <si>
    <t>RST-10297</t>
  </si>
  <si>
    <t>Jeff Adams</t>
  </si>
  <si>
    <t>Strong</t>
  </si>
  <si>
    <t>RST-10300</t>
  </si>
  <si>
    <t>Kelsey Hutchinson DVM</t>
  </si>
  <si>
    <t>RST-10302</t>
  </si>
  <si>
    <t>Brian Gardner</t>
  </si>
  <si>
    <t>Year</t>
  </si>
  <si>
    <t>RST-10304</t>
  </si>
  <si>
    <t>Rodney Ruiz</t>
  </si>
  <si>
    <t>Sit</t>
  </si>
  <si>
    <t>RST-10309</t>
  </si>
  <si>
    <t>Amber Watkins</t>
  </si>
  <si>
    <t>Key</t>
  </si>
  <si>
    <t>RST-10314</t>
  </si>
  <si>
    <t>Christopher Patterson</t>
  </si>
  <si>
    <t>Anyone</t>
  </si>
  <si>
    <t>RST-10323</t>
  </si>
  <si>
    <t>Cynthia Conway</t>
  </si>
  <si>
    <t>Career</t>
  </si>
  <si>
    <t>RST-10369</t>
  </si>
  <si>
    <t>Mathew Carlson</t>
  </si>
  <si>
    <t>RST-10383</t>
  </si>
  <si>
    <t>Tonya Mitchell</t>
  </si>
  <si>
    <t>RST-10385</t>
  </si>
  <si>
    <t>Edwin Mcclure</t>
  </si>
  <si>
    <t>Hotel</t>
  </si>
  <si>
    <t>RST-10399</t>
  </si>
  <si>
    <t>Melissa Marshall</t>
  </si>
  <si>
    <t>RST-10411</t>
  </si>
  <si>
    <t>Jackie Rodgers</t>
  </si>
  <si>
    <t>Law</t>
  </si>
  <si>
    <t>RST-10425</t>
  </si>
  <si>
    <t>Franklin Flores</t>
  </si>
  <si>
    <t>Social</t>
  </si>
  <si>
    <t>RST-10432</t>
  </si>
  <si>
    <t>William Williams</t>
  </si>
  <si>
    <t>Operation</t>
  </si>
  <si>
    <t>RST-10442</t>
  </si>
  <si>
    <t>Christine Weiss</t>
  </si>
  <si>
    <t>Center</t>
  </si>
  <si>
    <t>RST-10445</t>
  </si>
  <si>
    <t>Robert Golden</t>
  </si>
  <si>
    <t>RST-10451</t>
  </si>
  <si>
    <t>Donald Owens</t>
  </si>
  <si>
    <t>Worry</t>
  </si>
  <si>
    <t>RST-10455</t>
  </si>
  <si>
    <t>Brandon Lozano</t>
  </si>
  <si>
    <t>Hand</t>
  </si>
  <si>
    <t>RST-10466</t>
  </si>
  <si>
    <t>Angelica Soto</t>
  </si>
  <si>
    <t>RST-10474</t>
  </si>
  <si>
    <t>Erik May</t>
  </si>
  <si>
    <t>RST-10475</t>
  </si>
  <si>
    <t>Paul Gibson</t>
  </si>
  <si>
    <t>RST-10485</t>
  </si>
  <si>
    <t>Jason Green</t>
  </si>
  <si>
    <t>View</t>
  </si>
  <si>
    <t>RST-10492</t>
  </si>
  <si>
    <t>Richard Davis</t>
  </si>
  <si>
    <t>Third</t>
  </si>
  <si>
    <t>RST-10497</t>
  </si>
  <si>
    <t>Tyler Guerrero</t>
  </si>
  <si>
    <t>RST-10505</t>
  </si>
  <si>
    <t>Alexis Richard</t>
  </si>
  <si>
    <t>Say</t>
  </si>
  <si>
    <t>RST-10507</t>
  </si>
  <si>
    <t>Mary Dean</t>
  </si>
  <si>
    <t>Travel</t>
  </si>
  <si>
    <t>RST-10515</t>
  </si>
  <si>
    <t>Kimberly Key</t>
  </si>
  <si>
    <t>Century</t>
  </si>
  <si>
    <t>RST-10520</t>
  </si>
  <si>
    <t>Michael Davis</t>
  </si>
  <si>
    <t>Name</t>
  </si>
  <si>
    <t>RST-10523</t>
  </si>
  <si>
    <t>Lorraine Jones</t>
  </si>
  <si>
    <t>Government</t>
  </si>
  <si>
    <t>RST-10528</t>
  </si>
  <si>
    <t>Alexander Wise</t>
  </si>
  <si>
    <t>RST-10535</t>
  </si>
  <si>
    <t>Daniel Hall</t>
  </si>
  <si>
    <t>RST-10536</t>
  </si>
  <si>
    <t>Samantha Jones</t>
  </si>
  <si>
    <t>Field</t>
  </si>
  <si>
    <t>RST-10556</t>
  </si>
  <si>
    <t>Julie Schmidt</t>
  </si>
  <si>
    <t>RST-10565</t>
  </si>
  <si>
    <t>Stephanie Chandler</t>
  </si>
  <si>
    <t>Concern</t>
  </si>
  <si>
    <t>RST-10568</t>
  </si>
  <si>
    <t>Vincent Gardner</t>
  </si>
  <si>
    <t>RST-10579</t>
  </si>
  <si>
    <t>Susan Erickson</t>
  </si>
  <si>
    <t>Animal</t>
  </si>
  <si>
    <t>RST-10593</t>
  </si>
  <si>
    <t>Jeffrey Gross</t>
  </si>
  <si>
    <t>Watch</t>
  </si>
  <si>
    <t>RST-10001</t>
  </si>
  <si>
    <t>Sherry Sullivan</t>
  </si>
  <si>
    <t>Effort</t>
  </si>
  <si>
    <t>Dine-In</t>
  </si>
  <si>
    <t>RST-10002</t>
  </si>
  <si>
    <t>Mark Patterson</t>
  </si>
  <si>
    <t>Turn</t>
  </si>
  <si>
    <t>RST-10004</t>
  </si>
  <si>
    <t>Lisa Gonzales</t>
  </si>
  <si>
    <t>Military</t>
  </si>
  <si>
    <t>RST-10005</t>
  </si>
  <si>
    <t>Micheal Johnson</t>
  </si>
  <si>
    <t>RST-10008</t>
  </si>
  <si>
    <t>Laurie Fox</t>
  </si>
  <si>
    <t>RST-10013</t>
  </si>
  <si>
    <t>Karen Hamilton</t>
  </si>
  <si>
    <t>Executive</t>
  </si>
  <si>
    <t>RST-10014</t>
  </si>
  <si>
    <t>Candace Benjamin</t>
  </si>
  <si>
    <t>Every</t>
  </si>
  <si>
    <t>RST-10016</t>
  </si>
  <si>
    <t>Erica Henry</t>
  </si>
  <si>
    <t>Off</t>
  </si>
  <si>
    <t>RST-10021</t>
  </si>
  <si>
    <t>Bradley Henry</t>
  </si>
  <si>
    <t>Yes</t>
  </si>
  <si>
    <t>RST-10022</t>
  </si>
  <si>
    <t>Cassandra Curry</t>
  </si>
  <si>
    <t>RST-10026</t>
  </si>
  <si>
    <t>Chad Levy</t>
  </si>
  <si>
    <t>RST-10027</t>
  </si>
  <si>
    <t>Savannah Moore</t>
  </si>
  <si>
    <t>RST-10034</t>
  </si>
  <si>
    <t>Victoria Carter</t>
  </si>
  <si>
    <t>Those</t>
  </si>
  <si>
    <t>RST-10037</t>
  </si>
  <si>
    <t>Tammy Estes</t>
  </si>
  <si>
    <t>RST-10038</t>
  </si>
  <si>
    <t>Jesse Mayer</t>
  </si>
  <si>
    <t>Oil</t>
  </si>
  <si>
    <t>RST-10041</t>
  </si>
  <si>
    <t>Tiffany Cruz</t>
  </si>
  <si>
    <t>Begin</t>
  </si>
  <si>
    <t>RST-10047</t>
  </si>
  <si>
    <t>Kendra Fuentes</t>
  </si>
  <si>
    <t>RST-10049</t>
  </si>
  <si>
    <t>Maria Massey</t>
  </si>
  <si>
    <t>Though</t>
  </si>
  <si>
    <t>RST-10050</t>
  </si>
  <si>
    <t>Amanda Johnson</t>
  </si>
  <si>
    <t>Student</t>
  </si>
  <si>
    <t>RST-10052</t>
  </si>
  <si>
    <t>Edward Johnson</t>
  </si>
  <si>
    <t>Reveal</t>
  </si>
  <si>
    <t>RST-10053</t>
  </si>
  <si>
    <t>Jamie Russo</t>
  </si>
  <si>
    <t>Pressure</t>
  </si>
  <si>
    <t>RST-10055</t>
  </si>
  <si>
    <t>Suzanne Rocha</t>
  </si>
  <si>
    <t>RST-10058</t>
  </si>
  <si>
    <t>Eric Hoffman</t>
  </si>
  <si>
    <t>RST-10066</t>
  </si>
  <si>
    <t>Amy Willis</t>
  </si>
  <si>
    <t>RST-10068</t>
  </si>
  <si>
    <t>Frederick Meyers</t>
  </si>
  <si>
    <t>RST-10074</t>
  </si>
  <si>
    <t>Shelley Cruz</t>
  </si>
  <si>
    <t>Think</t>
  </si>
  <si>
    <t>RST-10079</t>
  </si>
  <si>
    <t>Matthew Miller</t>
  </si>
  <si>
    <t>Never</t>
  </si>
  <si>
    <t>RST-10080</t>
  </si>
  <si>
    <t>Jessica King</t>
  </si>
  <si>
    <t>Upon</t>
  </si>
  <si>
    <t>RST-10083</t>
  </si>
  <si>
    <t>Derrick Mccarthy</t>
  </si>
  <si>
    <t>RST-10084</t>
  </si>
  <si>
    <t>Lori Miller</t>
  </si>
  <si>
    <t>RST-10086</t>
  </si>
  <si>
    <t>Cynthia Atkinson</t>
  </si>
  <si>
    <t>Relationship</t>
  </si>
  <si>
    <t>RST-10090</t>
  </si>
  <si>
    <t>Catherine Clark</t>
  </si>
  <si>
    <t>Affect</t>
  </si>
  <si>
    <t>RST-10091</t>
  </si>
  <si>
    <t>Ms. Heather Miller</t>
  </si>
  <si>
    <t>Once</t>
  </si>
  <si>
    <t>RST-10097</t>
  </si>
  <si>
    <t>Allison Murphy</t>
  </si>
  <si>
    <t>Issue</t>
  </si>
  <si>
    <t>RST-10103</t>
  </si>
  <si>
    <t>Alan Payne</t>
  </si>
  <si>
    <t>RST-10107</t>
  </si>
  <si>
    <t>Deanna Barton</t>
  </si>
  <si>
    <t>Consumer</t>
  </si>
  <si>
    <t>RST-10110</t>
  </si>
  <si>
    <t>Caitlyn Jacobs</t>
  </si>
  <si>
    <t>Somebody</t>
  </si>
  <si>
    <t>RST-10113</t>
  </si>
  <si>
    <t>Bryan Acevedo</t>
  </si>
  <si>
    <t>RST-10121</t>
  </si>
  <si>
    <t>Margaret Jackson</t>
  </si>
  <si>
    <t>Candidate</t>
  </si>
  <si>
    <t>RST-10122</t>
  </si>
  <si>
    <t>Latoya Singh</t>
  </si>
  <si>
    <t>RST-10123</t>
  </si>
  <si>
    <t>Sarah Malone</t>
  </si>
  <si>
    <t>Trade</t>
  </si>
  <si>
    <t>RST-10124</t>
  </si>
  <si>
    <t>Elaine Scott</t>
  </si>
  <si>
    <t>RST-10128</t>
  </si>
  <si>
    <t>Jennifer Bailey</t>
  </si>
  <si>
    <t>East</t>
  </si>
  <si>
    <t>RST-10131</t>
  </si>
  <si>
    <t>Kristopher Johnson MD</t>
  </si>
  <si>
    <t>Knowledge</t>
  </si>
  <si>
    <t>RST-10133</t>
  </si>
  <si>
    <t>Brittany Gonzalez</t>
  </si>
  <si>
    <t>Scene</t>
  </si>
  <si>
    <t>RST-10134</t>
  </si>
  <si>
    <t>Dr. Stacey Hayden DVM</t>
  </si>
  <si>
    <t>Be</t>
  </si>
  <si>
    <t>RST-10135</t>
  </si>
  <si>
    <t>Daniel Harris</t>
  </si>
  <si>
    <t>RST-10138</t>
  </si>
  <si>
    <t>Rachel Rose</t>
  </si>
  <si>
    <t>Continue</t>
  </si>
  <si>
    <t>RST-10140</t>
  </si>
  <si>
    <t>Oscar Stewart</t>
  </si>
  <si>
    <t>RST-10154</t>
  </si>
  <si>
    <t>Christina Cortez</t>
  </si>
  <si>
    <t>Meeting</t>
  </si>
  <si>
    <t>RST-10156</t>
  </si>
  <si>
    <t>Mario Anderson</t>
  </si>
  <si>
    <t>Avoid</t>
  </si>
  <si>
    <t>RST-10157</t>
  </si>
  <si>
    <t>Michael Jones</t>
  </si>
  <si>
    <t>Eat</t>
  </si>
  <si>
    <t>RST-10158</t>
  </si>
  <si>
    <t>Danielle Archer</t>
  </si>
  <si>
    <t>Sing</t>
  </si>
  <si>
    <t>RST-10160</t>
  </si>
  <si>
    <t>Allison Werner</t>
  </si>
  <si>
    <t>RST-10163</t>
  </si>
  <si>
    <t>James Sullivan</t>
  </si>
  <si>
    <t>RST-10164</t>
  </si>
  <si>
    <t>Matthew Brooks</t>
  </si>
  <si>
    <t>Three</t>
  </si>
  <si>
    <t>RST-10167</t>
  </si>
  <si>
    <t>Anita Valencia</t>
  </si>
  <si>
    <t>Product</t>
  </si>
  <si>
    <t>RST-10177</t>
  </si>
  <si>
    <t>Andrew Oneill</t>
  </si>
  <si>
    <t>Seven</t>
  </si>
  <si>
    <t>RST-10179</t>
  </si>
  <si>
    <t>Brent Thompson</t>
  </si>
  <si>
    <t>RST-10182</t>
  </si>
  <si>
    <t>Nancy Johnson</t>
  </si>
  <si>
    <t>RST-10183</t>
  </si>
  <si>
    <t>Isaac Porter</t>
  </si>
  <si>
    <t>Do</t>
  </si>
  <si>
    <t>RST-10185</t>
  </si>
  <si>
    <t>James Rivers</t>
  </si>
  <si>
    <t>RST-10188</t>
  </si>
  <si>
    <t>Jeffrey Martin</t>
  </si>
  <si>
    <t>Poor</t>
  </si>
  <si>
    <t>RST-10191</t>
  </si>
  <si>
    <t>Rebecca Peterson</t>
  </si>
  <si>
    <t>RST-10195</t>
  </si>
  <si>
    <t>John Watts</t>
  </si>
  <si>
    <t>RST-10197</t>
  </si>
  <si>
    <t>Evelyn Shaw</t>
  </si>
  <si>
    <t>RST-10204</t>
  </si>
  <si>
    <t>Donna Johnson</t>
  </si>
  <si>
    <t>Edge</t>
  </si>
  <si>
    <t>RST-10207</t>
  </si>
  <si>
    <t>James Harrison</t>
  </si>
  <si>
    <t>Usually</t>
  </si>
  <si>
    <t>RST-10208</t>
  </si>
  <si>
    <t>Chloe James</t>
  </si>
  <si>
    <t>Attack</t>
  </si>
  <si>
    <t>RST-10211</t>
  </si>
  <si>
    <t>Eric Kirk</t>
  </si>
  <si>
    <t>RST-10214</t>
  </si>
  <si>
    <t>Lauren Williams</t>
  </si>
  <si>
    <t>Only</t>
  </si>
  <si>
    <t>RST-10220</t>
  </si>
  <si>
    <t>Gregory Becker</t>
  </si>
  <si>
    <t>Some</t>
  </si>
  <si>
    <t>RST-10221</t>
  </si>
  <si>
    <t>Michael King</t>
  </si>
  <si>
    <t>Above</t>
  </si>
  <si>
    <t>RST-10224</t>
  </si>
  <si>
    <t>Ashley Brady</t>
  </si>
  <si>
    <t>Set</t>
  </si>
  <si>
    <t>RST-10225</t>
  </si>
  <si>
    <t>Melissa Brown</t>
  </si>
  <si>
    <t>While</t>
  </si>
  <si>
    <t>RST-10228</t>
  </si>
  <si>
    <t>Robert Morris</t>
  </si>
  <si>
    <t>Better</t>
  </si>
  <si>
    <t>RST-10232</t>
  </si>
  <si>
    <t>William Carter</t>
  </si>
  <si>
    <t>RST-10245</t>
  </si>
  <si>
    <t>Kathryn Thomas</t>
  </si>
  <si>
    <t>Staff</t>
  </si>
  <si>
    <t>RST-10247</t>
  </si>
  <si>
    <t>Julie Delacruz</t>
  </si>
  <si>
    <t>RST-10250</t>
  </si>
  <si>
    <t>Mr. Lance Bowman</t>
  </si>
  <si>
    <t>Mrs</t>
  </si>
  <si>
    <t>RST-10251</t>
  </si>
  <si>
    <t>Mary Smith</t>
  </si>
  <si>
    <t>Simple</t>
  </si>
  <si>
    <t>RST-10254</t>
  </si>
  <si>
    <t>Raymond Chase</t>
  </si>
  <si>
    <t>Car</t>
  </si>
  <si>
    <t>RST-10255</t>
  </si>
  <si>
    <t>Rachel Raymond</t>
  </si>
  <si>
    <t>RST-10256</t>
  </si>
  <si>
    <t>Crystal Perez</t>
  </si>
  <si>
    <t>Create</t>
  </si>
  <si>
    <t>RST-10261</t>
  </si>
  <si>
    <t>Eric Miller</t>
  </si>
  <si>
    <t>Baby</t>
  </si>
  <si>
    <t>RST-10264</t>
  </si>
  <si>
    <t>Marcus Duffy</t>
  </si>
  <si>
    <t>Live</t>
  </si>
  <si>
    <t>RST-10267</t>
  </si>
  <si>
    <t>Andrew Guzman</t>
  </si>
  <si>
    <t>RST-10273</t>
  </si>
  <si>
    <t>Darren Hayes</t>
  </si>
  <si>
    <t>Total</t>
  </si>
  <si>
    <t>RST-10274</t>
  </si>
  <si>
    <t>Eric Beltran</t>
  </si>
  <si>
    <t>RST-10276</t>
  </si>
  <si>
    <t>Hannah Harmon</t>
  </si>
  <si>
    <t>RST-10284</t>
  </si>
  <si>
    <t>Jessica Tanner</t>
  </si>
  <si>
    <t>Beat</t>
  </si>
  <si>
    <t>RST-10294</t>
  </si>
  <si>
    <t>Charles Villa MD</t>
  </si>
  <si>
    <t>RST-10303</t>
  </si>
  <si>
    <t>Regina Williams MD</t>
  </si>
  <si>
    <t>RST-10307</t>
  </si>
  <si>
    <t>Sierra Bullock</t>
  </si>
  <si>
    <t>Item</t>
  </si>
  <si>
    <t>RST-10310</t>
  </si>
  <si>
    <t>Billy Mason</t>
  </si>
  <si>
    <t>Back</t>
  </si>
  <si>
    <t>RST-10316</t>
  </si>
  <si>
    <t>Amber Garcia</t>
  </si>
  <si>
    <t>RST-10317</t>
  </si>
  <si>
    <t>Christopher Griffith</t>
  </si>
  <si>
    <t>RST-10318</t>
  </si>
  <si>
    <t>Paula Simmons</t>
  </si>
  <si>
    <t>Like</t>
  </si>
  <si>
    <t>RST-10319</t>
  </si>
  <si>
    <t>Carol Castro</t>
  </si>
  <si>
    <t>Film</t>
  </si>
  <si>
    <t>RST-10321</t>
  </si>
  <si>
    <t>Alyssa Fuentes</t>
  </si>
  <si>
    <t>Still</t>
  </si>
  <si>
    <t>RST-10325</t>
  </si>
  <si>
    <t>Adrienne Hamilton</t>
  </si>
  <si>
    <t>Visit</t>
  </si>
  <si>
    <t>RST-10326</t>
  </si>
  <si>
    <t>Donald Rowe</t>
  </si>
  <si>
    <t>Of</t>
  </si>
  <si>
    <t>RST-10327</t>
  </si>
  <si>
    <t>Rebecca Jensen</t>
  </si>
  <si>
    <t>Well</t>
  </si>
  <si>
    <t>RST-10329</t>
  </si>
  <si>
    <t>Pam Knight</t>
  </si>
  <si>
    <t>Whatever</t>
  </si>
  <si>
    <t>RST-10339</t>
  </si>
  <si>
    <t>Jennifer Richardson</t>
  </si>
  <si>
    <t>Report</t>
  </si>
  <si>
    <t>RST-10345</t>
  </si>
  <si>
    <t>Corey Butler</t>
  </si>
  <si>
    <t>RST-10347</t>
  </si>
  <si>
    <t>Jennifer Morales</t>
  </si>
  <si>
    <t>RST-10349</t>
  </si>
  <si>
    <t>Mary Pierce</t>
  </si>
  <si>
    <t>RST-10352</t>
  </si>
  <si>
    <t>Michael Nichols</t>
  </si>
  <si>
    <t>Perform</t>
  </si>
  <si>
    <t>RST-10356</t>
  </si>
  <si>
    <t>Erin Thomas</t>
  </si>
  <si>
    <t>RST-10363</t>
  </si>
  <si>
    <t>Randall Tanner</t>
  </si>
  <si>
    <t>RST-10368</t>
  </si>
  <si>
    <t>Michael Butler</t>
  </si>
  <si>
    <t>RST-10377</t>
  </si>
  <si>
    <t>Alvin Maxwell</t>
  </si>
  <si>
    <t>Last</t>
  </si>
  <si>
    <t>RST-10381</t>
  </si>
  <si>
    <t>Douglas Watson</t>
  </si>
  <si>
    <t>RST-10384</t>
  </si>
  <si>
    <t>Natasha Russell</t>
  </si>
  <si>
    <t>RST-10387</t>
  </si>
  <si>
    <t>Aaron Green</t>
  </si>
  <si>
    <t>RST-10393</t>
  </si>
  <si>
    <t>Alyssa Garcia</t>
  </si>
  <si>
    <t>RST-10396</t>
  </si>
  <si>
    <t>Lisa Walker</t>
  </si>
  <si>
    <t>Identify</t>
  </si>
  <si>
    <t>RST-10397</t>
  </si>
  <si>
    <t>Shane Hernandez</t>
  </si>
  <si>
    <t>Traditional</t>
  </si>
  <si>
    <t>RST-10398</t>
  </si>
  <si>
    <t>Connie Taylor</t>
  </si>
  <si>
    <t>Teach</t>
  </si>
  <si>
    <t>RST-10403</t>
  </si>
  <si>
    <t>Marie Sloan</t>
  </si>
  <si>
    <t>Against</t>
  </si>
  <si>
    <t>RST-10406</t>
  </si>
  <si>
    <t>Jeffery Goodman</t>
  </si>
  <si>
    <t>RST-10408</t>
  </si>
  <si>
    <t>Jennifer Anderson</t>
  </si>
  <si>
    <t>Trip</t>
  </si>
  <si>
    <t>RST-10409</t>
  </si>
  <si>
    <t>Robert Mitchell</t>
  </si>
  <si>
    <t>RST-10414</t>
  </si>
  <si>
    <t>Jay Rogers</t>
  </si>
  <si>
    <t>RST-10417</t>
  </si>
  <si>
    <t>Michelle Clark</t>
  </si>
  <si>
    <t>Real</t>
  </si>
  <si>
    <t>RST-10421</t>
  </si>
  <si>
    <t>Charles Murphy</t>
  </si>
  <si>
    <t>Boy</t>
  </si>
  <si>
    <t>RST-10424</t>
  </si>
  <si>
    <t>Jeffrey Hopkins</t>
  </si>
  <si>
    <t>Tough</t>
  </si>
  <si>
    <t>RST-10426</t>
  </si>
  <si>
    <t>Emily Wilson</t>
  </si>
  <si>
    <t>Me</t>
  </si>
  <si>
    <t>RST-10428</t>
  </si>
  <si>
    <t>Jennifer Conner</t>
  </si>
  <si>
    <t>RST-10431</t>
  </si>
  <si>
    <t>Kristen Ryan</t>
  </si>
  <si>
    <t>Space</t>
  </si>
  <si>
    <t>RST-10434</t>
  </si>
  <si>
    <t>Adrienne Lambert</t>
  </si>
  <si>
    <t>RST-10435</t>
  </si>
  <si>
    <t>Jeffrey Zamora</t>
  </si>
  <si>
    <t>Almost</t>
  </si>
  <si>
    <t>RST-10438</t>
  </si>
  <si>
    <t>Brandi Alvarez</t>
  </si>
  <si>
    <t>RST-10444</t>
  </si>
  <si>
    <t>Phillip Li</t>
  </si>
  <si>
    <t>Partner</t>
  </si>
  <si>
    <t>RST-10447</t>
  </si>
  <si>
    <t>Kim Edwards</t>
  </si>
  <si>
    <t>RST-10449</t>
  </si>
  <si>
    <t>Jennifer Brown</t>
  </si>
  <si>
    <t>Improve</t>
  </si>
  <si>
    <t>RST-10452</t>
  </si>
  <si>
    <t>Luis Mcgee</t>
  </si>
  <si>
    <t>RST-10453</t>
  </si>
  <si>
    <t>Melissa Mercer</t>
  </si>
  <si>
    <t>Southern</t>
  </si>
  <si>
    <t>RST-10454</t>
  </si>
  <si>
    <t>Miranda Francis</t>
  </si>
  <si>
    <t>Police</t>
  </si>
  <si>
    <t>RST-10456</t>
  </si>
  <si>
    <t>Thomas Hunter</t>
  </si>
  <si>
    <t>Computer</t>
  </si>
  <si>
    <t>RST-10457</t>
  </si>
  <si>
    <t>Mr. Corey Moore</t>
  </si>
  <si>
    <t>RST-10459</t>
  </si>
  <si>
    <t>Jason Morrison</t>
  </si>
  <si>
    <t>RST-10464</t>
  </si>
  <si>
    <t>Allison Bartlett</t>
  </si>
  <si>
    <t>RST-10465</t>
  </si>
  <si>
    <t>Mr. Jeffrey Henderson</t>
  </si>
  <si>
    <t>If</t>
  </si>
  <si>
    <t>RST-10469</t>
  </si>
  <si>
    <t>Maurice Green</t>
  </si>
  <si>
    <t>RST-10470</t>
  </si>
  <si>
    <t>Dennis Parrish</t>
  </si>
  <si>
    <t>RST-10476</t>
  </si>
  <si>
    <t>Justin Smith</t>
  </si>
  <si>
    <t>RST-10477</t>
  </si>
  <si>
    <t>Joshua Henderson</t>
  </si>
  <si>
    <t>Number</t>
  </si>
  <si>
    <t>RST-10478</t>
  </si>
  <si>
    <t>Jessica Stevens</t>
  </si>
  <si>
    <t>Understand</t>
  </si>
  <si>
    <t>RST-10481</t>
  </si>
  <si>
    <t>Mr. James Roberts</t>
  </si>
  <si>
    <t>RST-10486</t>
  </si>
  <si>
    <t>Dr. Lisa Tucker</t>
  </si>
  <si>
    <t>Own</t>
  </si>
  <si>
    <t>RST-10488</t>
  </si>
  <si>
    <t>Jacob Richardson</t>
  </si>
  <si>
    <t>Pass</t>
  </si>
  <si>
    <t>RST-10495</t>
  </si>
  <si>
    <t>Brent Jones</t>
  </si>
  <si>
    <t>RST-10496</t>
  </si>
  <si>
    <t>Kimberly King</t>
  </si>
  <si>
    <t>Development</t>
  </si>
  <si>
    <t>RST-10500</t>
  </si>
  <si>
    <t>Latoya Rodriguez</t>
  </si>
  <si>
    <t>Game</t>
  </si>
  <si>
    <t>RST-10508</t>
  </si>
  <si>
    <t>Jennifer Paul</t>
  </si>
  <si>
    <t>RST-10512</t>
  </si>
  <si>
    <t>Aaron Anderson</t>
  </si>
  <si>
    <t>Stand</t>
  </si>
  <si>
    <t>RST-10513</t>
  </si>
  <si>
    <t>Julie House</t>
  </si>
  <si>
    <t>High</t>
  </si>
  <si>
    <t>RST-10517</t>
  </si>
  <si>
    <t>Catherine Perez</t>
  </si>
  <si>
    <t>Heavy</t>
  </si>
  <si>
    <t>RST-10518</t>
  </si>
  <si>
    <t>Debra Smith</t>
  </si>
  <si>
    <t>RST-10522</t>
  </si>
  <si>
    <t>Donna Pena</t>
  </si>
  <si>
    <t>About</t>
  </si>
  <si>
    <t>RST-10531</t>
  </si>
  <si>
    <t>Robin Shah</t>
  </si>
  <si>
    <t>RST-10534</t>
  </si>
  <si>
    <t>Jamie Barnes</t>
  </si>
  <si>
    <t>Level</t>
  </si>
  <si>
    <t>RST-10540</t>
  </si>
  <si>
    <t>Carla Bates</t>
  </si>
  <si>
    <t>Authority</t>
  </si>
  <si>
    <t>RST-10544</t>
  </si>
  <si>
    <t>Wendy Oliver</t>
  </si>
  <si>
    <t>Show</t>
  </si>
  <si>
    <t>RST-10546</t>
  </si>
  <si>
    <t>Joshua Tucker</t>
  </si>
  <si>
    <t>Professional</t>
  </si>
  <si>
    <t>RST-10548</t>
  </si>
  <si>
    <t>Carol Hogan</t>
  </si>
  <si>
    <t>RST-10549</t>
  </si>
  <si>
    <t>Larry Forbes</t>
  </si>
  <si>
    <t>RST-10550</t>
  </si>
  <si>
    <t>Elizabeth Phillips</t>
  </si>
  <si>
    <t>Argue</t>
  </si>
  <si>
    <t>RST-10560</t>
  </si>
  <si>
    <t>Tiffany Macdonald</t>
  </si>
  <si>
    <t>Answer</t>
  </si>
  <si>
    <t>RST-10564</t>
  </si>
  <si>
    <t>Denise Phillips</t>
  </si>
  <si>
    <t>Term</t>
  </si>
  <si>
    <t>RST-10566</t>
  </si>
  <si>
    <t>Richard Hawkins</t>
  </si>
  <si>
    <t>RST-10570</t>
  </si>
  <si>
    <t>Nancy Wilson</t>
  </si>
  <si>
    <t>Ready</t>
  </si>
  <si>
    <t>RST-10575</t>
  </si>
  <si>
    <t>Alejandro West</t>
  </si>
  <si>
    <t>Loss</t>
  </si>
  <si>
    <t>RST-10585</t>
  </si>
  <si>
    <t>Paul Scott</t>
  </si>
  <si>
    <t>Western</t>
  </si>
  <si>
    <t>RST-10586</t>
  </si>
  <si>
    <t>Derrick Benson</t>
  </si>
  <si>
    <t>Happen</t>
  </si>
  <si>
    <t>RST-10588</t>
  </si>
  <si>
    <t>Cindy Robinson</t>
  </si>
  <si>
    <t>RST-10599</t>
  </si>
  <si>
    <t>Dr. Kimberly Warren</t>
  </si>
  <si>
    <t>Land</t>
  </si>
  <si>
    <t>Row Labels</t>
  </si>
  <si>
    <t>Grand Total</t>
  </si>
  <si>
    <t>Sum of Total_Sales</t>
  </si>
  <si>
    <t>Order_Time (Hour)</t>
  </si>
  <si>
    <t>Order_Time (Minute)</t>
  </si>
  <si>
    <t>12</t>
  </si>
  <si>
    <t>11</t>
  </si>
  <si>
    <t>17</t>
  </si>
  <si>
    <t>15</t>
  </si>
  <si>
    <t>23</t>
  </si>
  <si>
    <t>9</t>
  </si>
  <si>
    <t>22</t>
  </si>
  <si>
    <t>20</t>
  </si>
  <si>
    <t>18</t>
  </si>
  <si>
    <t>19</t>
  </si>
  <si>
    <t>14</t>
  </si>
  <si>
    <t>10</t>
  </si>
  <si>
    <t>21</t>
  </si>
  <si>
    <t>16</t>
  </si>
  <si>
    <t>13</t>
  </si>
  <si>
    <t>Count of Order_ID</t>
  </si>
  <si>
    <t>Order_Date (Month Index)</t>
  </si>
  <si>
    <t>Order_Date (Month)</t>
  </si>
  <si>
    <t>Feb</t>
  </si>
  <si>
    <t>Mar</t>
  </si>
  <si>
    <t>Jan</t>
  </si>
  <si>
    <t>Apr</t>
  </si>
  <si>
    <t>May</t>
  </si>
  <si>
    <t>Jun</t>
  </si>
  <si>
    <t>Sum of Quantity</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</si>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</sst>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111827"/>
        <bgColor indexed="64"/>
      </patternFill>
    </fill>
    <fill>
      <patternFill patternType="solid">
        <fgColor rgb="FF0B112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
      <numFmt numFmtId="19" formatCode="dd/mm/yyyy"/>
    </dxf>
    <dxf>
      <numFmt numFmtId="0" formatCode="General"/>
    </dxf>
    <dxf>
      <font>
        <b/>
        <color theme="1"/>
      </font>
      <fill>
        <patternFill>
          <fgColor rgb="FF111827"/>
        </patternFill>
      </fill>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val="0"/>
        <i val="0"/>
        <sz val="10"/>
        <color theme="0"/>
      </font>
      <fill>
        <patternFill>
          <fgColor theme="2"/>
          <bgColor rgb="FF111827"/>
        </patternFill>
      </fill>
      <border>
        <bottom style="thin">
          <color theme="9"/>
        </bottom>
        <vertical/>
        <horizontal/>
      </border>
    </dxf>
    <dxf>
      <font>
        <b/>
        <i val="0"/>
        <color theme="0"/>
      </font>
      <fill>
        <patternFill>
          <fgColor theme="0"/>
          <bgColor rgb="FF111827"/>
        </patternFill>
      </fill>
      <border>
        <left style="thin">
          <color theme="9"/>
        </left>
        <right style="thin">
          <color theme="9"/>
        </right>
        <top style="thin">
          <color theme="9"/>
        </top>
        <bottom style="thin">
          <color theme="9"/>
        </bottom>
        <vertical/>
        <horizontal/>
      </border>
    </dxf>
    <dxf>
      <font>
        <b val="0"/>
        <i val="0"/>
        <sz val="10"/>
        <color theme="0"/>
      </font>
      <border>
        <bottom style="thin">
          <color theme="7"/>
        </bottom>
        <vertical/>
        <horizontal/>
      </border>
    </dxf>
    <dxf>
      <font>
        <color theme="1"/>
      </font>
      <fill>
        <patternFill>
          <bgColor rgb="FF111827"/>
        </patternFill>
      </fill>
      <border>
        <left style="thin">
          <color theme="7"/>
        </left>
        <right style="thin">
          <color theme="7"/>
        </right>
        <top style="thin">
          <color theme="7"/>
        </top>
        <bottom style="thin">
          <color theme="7"/>
        </bottom>
        <vertical/>
        <horizontal/>
      </border>
    </dxf>
    <dxf>
      <font>
        <b val="0"/>
        <i val="0"/>
        <sz val="10"/>
        <color theme="0"/>
      </font>
      <border>
        <bottom style="thin">
          <color theme="7"/>
        </bottom>
        <vertical/>
        <horizontal/>
      </border>
    </dxf>
    <dxf>
      <font>
        <color theme="1"/>
      </font>
      <fill>
        <patternFill>
          <bgColor rgb="FF111827"/>
        </patternFill>
      </fill>
      <border>
        <left style="thin">
          <color theme="7"/>
        </left>
        <right style="thin">
          <color theme="7"/>
        </right>
        <top style="thin">
          <color theme="7"/>
        </top>
        <bottom style="thin">
          <color theme="7"/>
        </bottom>
        <vertical/>
        <horizontal/>
      </border>
    </dxf>
    <dxf>
      <font>
        <b/>
        <color theme="1"/>
      </font>
      <fill>
        <patternFill>
          <fgColor auto="1"/>
          <bgColor theme="0"/>
        </patternFill>
      </fill>
      <border>
        <bottom style="thin">
          <color theme="5"/>
        </bottom>
        <vertical/>
        <horizontal/>
      </border>
    </dxf>
    <dxf>
      <font>
        <sz val="10"/>
        <color theme="0"/>
      </font>
      <fill>
        <patternFill>
          <bgColor rgb="FF111827"/>
        </patternFill>
      </fill>
      <border diagonalUp="0" diagonalDown="0">
        <left/>
        <right/>
        <top/>
        <bottom/>
        <vertical/>
        <horizontal/>
      </border>
    </dxf>
    <dxf>
      <font>
        <b val="0"/>
        <i val="0"/>
        <sz val="10"/>
        <color theme="0"/>
      </font>
      <border>
        <bottom style="thin">
          <color theme="5"/>
        </bottom>
        <vertical/>
        <horizontal/>
      </border>
    </dxf>
    <dxf>
      <font>
        <sz val="10"/>
        <color theme="0"/>
      </font>
      <fill>
        <patternFill>
          <bgColor rgb="FF111827"/>
        </patternFill>
      </fill>
      <border diagonalUp="0" diagonalDown="0">
        <left/>
        <right/>
        <top/>
        <bottom/>
        <vertical/>
        <horizontal/>
      </border>
    </dxf>
    <dxf>
      <font>
        <b val="0"/>
        <i val="0"/>
        <sz val="10"/>
        <color theme="0"/>
      </font>
      <border>
        <bottom style="thin">
          <color theme="4"/>
        </bottom>
        <vertical/>
        <horizontal/>
      </border>
    </dxf>
    <dxf>
      <font>
        <color rgb="FF111827"/>
      </font>
      <fill>
        <patternFill>
          <bgColor rgb="FF111827"/>
        </patternFill>
      </fill>
      <border>
        <left style="thin">
          <color theme="4"/>
        </left>
        <right style="thin">
          <color theme="4"/>
        </right>
        <top style="thin">
          <color theme="4"/>
        </top>
        <bottom style="thin">
          <color theme="4"/>
        </bottom>
        <vertical/>
        <horizontal/>
      </border>
    </dxf>
  </dxfs>
  <tableStyles count="7" defaultTableStyle="TableStyleMedium2" defaultPivotStyle="PivotStyleLight16">
    <tableStyle name="SlicerStyleDark1 2" pivot="0" table="0" count="10" xr9:uid="{691C8177-9F4A-413D-BAFF-E61E4327E9B2}">
      <tableStyleElement type="wholeTable" dxfId="23"/>
      <tableStyleElement type="headerRow" dxfId="22"/>
    </tableStyle>
    <tableStyle name="SlicerStyleDark2 2" pivot="0" table="0" count="10" xr9:uid="{62FB7B17-F458-4286-BE3C-C8EDF0FD0F02}">
      <tableStyleElement type="wholeTable" dxfId="21"/>
      <tableStyleElement type="headerRow" dxfId="20"/>
    </tableStyle>
    <tableStyle name="SlicerStyleDark2 2 2" pivot="0" table="0" count="10" xr9:uid="{099BFDFB-B2B5-4040-9988-94B95FB21F1E}">
      <tableStyleElement type="wholeTable" dxfId="19"/>
      <tableStyleElement type="headerRow" dxfId="18"/>
    </tableStyle>
    <tableStyle name="SlicerStyleDark4 2" pivot="0" table="0" count="10" xr9:uid="{48F072C1-39FC-45AF-B4B6-99C7465FAB05}">
      <tableStyleElement type="wholeTable" dxfId="17"/>
      <tableStyleElement type="headerRow" dxfId="16"/>
    </tableStyle>
    <tableStyle name="SlicerStyleDark4 2 2" pivot="0" table="0" count="10" xr9:uid="{13A49D65-F55C-4C46-B07D-302F956030CF}">
      <tableStyleElement type="wholeTable" dxfId="15"/>
      <tableStyleElement type="headerRow" dxfId="14"/>
    </tableStyle>
    <tableStyle name="SlicerStyleDark6 2" pivot="0" table="0" count="10" xr9:uid="{A9EB9C28-72D4-4D64-92EA-50BF74A8AD8A}">
      <tableStyleElement type="wholeTable" dxfId="13"/>
      <tableStyleElement type="headerRow" dxfId="12"/>
    </tableStyle>
    <tableStyle name="SlicerStyleLight5 2" pivot="0" table="0" count="10" xr9:uid="{5E9B786B-E46D-453A-B649-688279FA18A2}">
      <tableStyleElement type="wholeTable" dxfId="11"/>
      <tableStyleElement type="headerRow" dxfId="10"/>
    </tableStyle>
  </tableStyles>
  <colors>
    <mruColors>
      <color rgb="FF111827"/>
      <color rgb="FFF97316"/>
      <color rgb="FFFACC15"/>
      <color rgb="FF22C55E"/>
      <color rgb="FF14B8A6"/>
      <color rgb="FF0B1120"/>
      <color rgb="FF0A0F1A"/>
      <color rgb="FF3B82F6"/>
      <color rgb="FFEC4899"/>
      <color rgb="FF0F172A"/>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Dashboard.xlsx]Pivot_Tables!PivotTable1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a:solidFill>
                  <a:schemeClr val="bg1"/>
                </a:solidFill>
              </a:rPr>
              <a:t>🍕Top</a:t>
            </a:r>
            <a:r>
              <a:rPr lang="en-IN" sz="1800" baseline="0">
                <a:solidFill>
                  <a:schemeClr val="bg1"/>
                </a:solidFill>
              </a:rPr>
              <a:t> Selling Food Categories</a:t>
            </a:r>
            <a:endParaRPr lang="en-IN" sz="1800">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c:f>
              <c:strCache>
                <c:ptCount val="1"/>
                <c:pt idx="0">
                  <c:v>Total</c:v>
                </c:pt>
              </c:strCache>
            </c:strRef>
          </c:tx>
          <c:spPr>
            <a:solidFill>
              <a:srgbClr val="F973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Pivot_Tables!$A$2:$A$8</c:f>
              <c:strCache>
                <c:ptCount val="6"/>
                <c:pt idx="0">
                  <c:v>Biryani</c:v>
                </c:pt>
                <c:pt idx="1">
                  <c:v>Burger</c:v>
                </c:pt>
                <c:pt idx="2">
                  <c:v>Dessert</c:v>
                </c:pt>
                <c:pt idx="3">
                  <c:v>Drinks</c:v>
                </c:pt>
                <c:pt idx="4">
                  <c:v>Pasta</c:v>
                </c:pt>
                <c:pt idx="5">
                  <c:v>Pizza</c:v>
                </c:pt>
              </c:strCache>
            </c:strRef>
          </c:cat>
          <c:val>
            <c:numRef>
              <c:f>Pivot_Tables!$B$2:$B$8</c:f>
              <c:numCache>
                <c:formatCode>General</c:formatCode>
                <c:ptCount val="6"/>
                <c:pt idx="0">
                  <c:v>11022.6</c:v>
                </c:pt>
                <c:pt idx="1">
                  <c:v>7749.94</c:v>
                </c:pt>
                <c:pt idx="2">
                  <c:v>10387.74</c:v>
                </c:pt>
                <c:pt idx="3">
                  <c:v>10197.700000000001</c:v>
                </c:pt>
                <c:pt idx="4">
                  <c:v>10246.969999999999</c:v>
                </c:pt>
                <c:pt idx="5">
                  <c:v>8690.4</c:v>
                </c:pt>
              </c:numCache>
            </c:numRef>
          </c:val>
          <c:extLst>
            <c:ext xmlns:c16="http://schemas.microsoft.com/office/drawing/2014/chart" uri="{C3380CC4-5D6E-409C-BE32-E72D297353CC}">
              <c16:uniqueId val="{00000000-CFA4-415D-A09A-FA3DC5AD3828}"/>
            </c:ext>
          </c:extLst>
        </c:ser>
        <c:dLbls>
          <c:dLblPos val="outEnd"/>
          <c:showLegendKey val="0"/>
          <c:showVal val="1"/>
          <c:showCatName val="0"/>
          <c:showSerName val="0"/>
          <c:showPercent val="0"/>
          <c:showBubbleSize val="0"/>
        </c:dLbls>
        <c:gapWidth val="182"/>
        <c:axId val="864378703"/>
        <c:axId val="864373903"/>
      </c:barChart>
      <c:catAx>
        <c:axId val="86437870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solidFill>
                      <a:schemeClr val="bg1"/>
                    </a:solidFill>
                  </a:rPr>
                  <a:t>Food</a:t>
                </a:r>
                <a:r>
                  <a:rPr lang="en-IN" sz="1100" baseline="0">
                    <a:solidFill>
                      <a:schemeClr val="bg1"/>
                    </a:solidFill>
                  </a:rPr>
                  <a:t> Category</a:t>
                </a:r>
                <a:endParaRPr lang="en-IN" sz="1100">
                  <a:solidFill>
                    <a:schemeClr val="bg1"/>
                  </a:solidFill>
                </a:endParaRPr>
              </a:p>
            </c:rich>
          </c:tx>
          <c:layout>
            <c:manualLayout>
              <c:xMode val="edge"/>
              <c:yMode val="edge"/>
              <c:x val="2.1908979403834242E-2"/>
              <c:y val="0.3216686121616182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64373903"/>
        <c:crosses val="autoZero"/>
        <c:auto val="1"/>
        <c:lblAlgn val="ctr"/>
        <c:lblOffset val="100"/>
        <c:noMultiLvlLbl val="0"/>
      </c:catAx>
      <c:valAx>
        <c:axId val="864373903"/>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solidFill>
                      <a:schemeClr val="bg1"/>
                    </a:solidFill>
                  </a:rPr>
                  <a:t>Total</a:t>
                </a:r>
                <a:r>
                  <a:rPr lang="en-IN" sz="1100" baseline="0">
                    <a:solidFill>
                      <a:schemeClr val="bg1"/>
                    </a:solidFill>
                  </a:rPr>
                  <a:t> Sales</a:t>
                </a:r>
                <a:endParaRPr lang="en-IN" sz="1100">
                  <a:solidFill>
                    <a:schemeClr val="bg1"/>
                  </a:solidFill>
                </a:endParaRP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6437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Dashboard.xlsx]Pivot_Tables!PivotTable2</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chemeClr val="bg1"/>
                </a:solidFill>
              </a:rPr>
              <a:t>⏰Peak </a:t>
            </a:r>
            <a:r>
              <a:rPr lang="en-IN" sz="1800">
                <a:solidFill>
                  <a:schemeClr val="bg1"/>
                </a:solidFill>
              </a:rPr>
              <a:t>Hour</a:t>
            </a:r>
            <a:r>
              <a:rPr lang="en-IN" sz="1800" baseline="0">
                <a:solidFill>
                  <a:schemeClr val="bg1"/>
                </a:solidFill>
              </a:rPr>
              <a:t> Sales Analysis</a:t>
            </a:r>
            <a:endParaRPr lang="en-IN"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c:f>
              <c:strCache>
                <c:ptCount val="1"/>
                <c:pt idx="0">
                  <c:v>Sum of Total_Sales</c:v>
                </c:pt>
              </c:strCache>
            </c:strRef>
          </c:tx>
          <c:spPr>
            <a:solidFill>
              <a:srgbClr val="EF4444"/>
            </a:solidFill>
            <a:ln>
              <a:noFill/>
            </a:ln>
            <a:effectLst/>
          </c:spPr>
          <c:invertIfNegative val="0"/>
          <c:cat>
            <c:strRef>
              <c:f>Pivot_Tables!$D$2:$D$17</c:f>
              <c:strCache>
                <c:ptCount val="15"/>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9</c:v>
                </c:pt>
              </c:strCache>
            </c:strRef>
          </c:cat>
          <c:val>
            <c:numRef>
              <c:f>Pivot_Tables!$E$2:$E$17</c:f>
              <c:numCache>
                <c:formatCode>General</c:formatCode>
                <c:ptCount val="15"/>
                <c:pt idx="0">
                  <c:v>4603.63</c:v>
                </c:pt>
                <c:pt idx="1">
                  <c:v>3893.83</c:v>
                </c:pt>
                <c:pt idx="2">
                  <c:v>4281.13</c:v>
                </c:pt>
                <c:pt idx="3">
                  <c:v>5258.51</c:v>
                </c:pt>
                <c:pt idx="4">
                  <c:v>2558.4699999999998</c:v>
                </c:pt>
                <c:pt idx="5">
                  <c:v>2751.23</c:v>
                </c:pt>
                <c:pt idx="6">
                  <c:v>3729.99</c:v>
                </c:pt>
                <c:pt idx="7">
                  <c:v>3866.14</c:v>
                </c:pt>
                <c:pt idx="8">
                  <c:v>3548.13</c:v>
                </c:pt>
                <c:pt idx="9">
                  <c:v>4853.47</c:v>
                </c:pt>
                <c:pt idx="10">
                  <c:v>3691.53</c:v>
                </c:pt>
                <c:pt idx="11">
                  <c:v>3802.68</c:v>
                </c:pt>
                <c:pt idx="12">
                  <c:v>4581.95</c:v>
                </c:pt>
                <c:pt idx="13">
                  <c:v>3098.12</c:v>
                </c:pt>
                <c:pt idx="14">
                  <c:v>3776.54</c:v>
                </c:pt>
              </c:numCache>
            </c:numRef>
          </c:val>
          <c:extLst>
            <c:ext xmlns:c16="http://schemas.microsoft.com/office/drawing/2014/chart" uri="{C3380CC4-5D6E-409C-BE32-E72D297353CC}">
              <c16:uniqueId val="{00000000-8918-4980-BA2D-DB0C2D26D0E1}"/>
            </c:ext>
          </c:extLst>
        </c:ser>
        <c:ser>
          <c:idx val="1"/>
          <c:order val="1"/>
          <c:tx>
            <c:strRef>
              <c:f>Pivot_Tables!$F$1</c:f>
              <c:strCache>
                <c:ptCount val="1"/>
                <c:pt idx="0">
                  <c:v>Count of Order_ID</c:v>
                </c:pt>
              </c:strCache>
            </c:strRef>
          </c:tx>
          <c:spPr>
            <a:solidFill>
              <a:schemeClr val="accent2"/>
            </a:solidFill>
            <a:ln>
              <a:noFill/>
            </a:ln>
            <a:effectLst/>
          </c:spPr>
          <c:invertIfNegative val="0"/>
          <c:cat>
            <c:strRef>
              <c:f>Pivot_Tables!$D$2:$D$17</c:f>
              <c:strCache>
                <c:ptCount val="15"/>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9</c:v>
                </c:pt>
              </c:strCache>
            </c:strRef>
          </c:cat>
          <c:val>
            <c:numRef>
              <c:f>Pivot_Tables!$F$2:$F$17</c:f>
              <c:numCache>
                <c:formatCode>General</c:formatCode>
                <c:ptCount val="15"/>
                <c:pt idx="0">
                  <c:v>40</c:v>
                </c:pt>
                <c:pt idx="1">
                  <c:v>43</c:v>
                </c:pt>
                <c:pt idx="2">
                  <c:v>45</c:v>
                </c:pt>
                <c:pt idx="3">
                  <c:v>48</c:v>
                </c:pt>
                <c:pt idx="4">
                  <c:v>32</c:v>
                </c:pt>
                <c:pt idx="5">
                  <c:v>30</c:v>
                </c:pt>
                <c:pt idx="6">
                  <c:v>44</c:v>
                </c:pt>
                <c:pt idx="7">
                  <c:v>38</c:v>
                </c:pt>
                <c:pt idx="8">
                  <c:v>39</c:v>
                </c:pt>
                <c:pt idx="9">
                  <c:v>52</c:v>
                </c:pt>
                <c:pt idx="10">
                  <c:v>39</c:v>
                </c:pt>
                <c:pt idx="11">
                  <c:v>38</c:v>
                </c:pt>
                <c:pt idx="12">
                  <c:v>49</c:v>
                </c:pt>
                <c:pt idx="13">
                  <c:v>25</c:v>
                </c:pt>
                <c:pt idx="14">
                  <c:v>38</c:v>
                </c:pt>
              </c:numCache>
            </c:numRef>
          </c:val>
          <c:extLst>
            <c:ext xmlns:c16="http://schemas.microsoft.com/office/drawing/2014/chart" uri="{C3380CC4-5D6E-409C-BE32-E72D297353CC}">
              <c16:uniqueId val="{00000001-8918-4980-BA2D-DB0C2D26D0E1}"/>
            </c:ext>
          </c:extLst>
        </c:ser>
        <c:dLbls>
          <c:showLegendKey val="0"/>
          <c:showVal val="0"/>
          <c:showCatName val="0"/>
          <c:showSerName val="0"/>
          <c:showPercent val="0"/>
          <c:showBubbleSize val="0"/>
        </c:dLbls>
        <c:gapWidth val="219"/>
        <c:overlap val="-27"/>
        <c:axId val="864394543"/>
        <c:axId val="864389743"/>
      </c:barChart>
      <c:catAx>
        <c:axId val="864394543"/>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solidFill>
                      <a:schemeClr val="bg1"/>
                    </a:solidFill>
                  </a:rPr>
                  <a:t>Order</a:t>
                </a:r>
                <a:r>
                  <a:rPr lang="en-IN" sz="1100" baseline="0">
                    <a:solidFill>
                      <a:schemeClr val="bg1"/>
                    </a:solidFill>
                  </a:rPr>
                  <a:t> Time</a:t>
                </a:r>
                <a:endParaRPr lang="en-IN" sz="1100">
                  <a:solidFill>
                    <a:schemeClr val="bg1"/>
                  </a:solidFill>
                </a:endParaRPr>
              </a:p>
            </c:rich>
          </c:tx>
          <c:layout>
            <c:manualLayout>
              <c:xMode val="edge"/>
              <c:yMode val="edge"/>
              <c:x val="0.39932419879144271"/>
              <c:y val="0.881005030849089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64389743"/>
        <c:crosses val="autoZero"/>
        <c:auto val="1"/>
        <c:lblAlgn val="ctr"/>
        <c:lblOffset val="100"/>
        <c:noMultiLvlLbl val="0"/>
      </c:catAx>
      <c:valAx>
        <c:axId val="86438974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b="0">
                    <a:solidFill>
                      <a:schemeClr val="bg1"/>
                    </a:solidFill>
                  </a:rPr>
                  <a:t>Sales</a:t>
                </a:r>
              </a:p>
            </c:rich>
          </c:tx>
          <c:layout>
            <c:manualLayout>
              <c:xMode val="edge"/>
              <c:yMode val="edge"/>
              <c:x val="1.7991952396005907E-2"/>
              <c:y val="0.3739634172939072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6439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Dashboard.xlsx]Pivot_Tables!PivotTable4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a:solidFill>
                  <a:schemeClr val="bg1"/>
                </a:solidFill>
              </a:rPr>
              <a:t>📊</a:t>
            </a:r>
            <a:r>
              <a:rPr lang="en-US" sz="1800">
                <a:solidFill>
                  <a:schemeClr val="bg1"/>
                </a:solidFill>
              </a:rPr>
              <a:t>Revenue</a:t>
            </a:r>
            <a:r>
              <a:rPr lang="en-US" sz="1800" baseline="0">
                <a:solidFill>
                  <a:schemeClr val="bg1"/>
                </a:solidFill>
              </a:rPr>
              <a:t> Trend</a:t>
            </a:r>
            <a:endParaRPr lang="en-US" sz="1800">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ACC1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Pivot_Tables!$L$1</c:f>
              <c:strCache>
                <c:ptCount val="1"/>
                <c:pt idx="0">
                  <c:v>Total</c:v>
                </c:pt>
              </c:strCache>
            </c:strRef>
          </c:tx>
          <c:spPr>
            <a:ln w="28575" cap="rnd">
              <a:solidFill>
                <a:srgbClr val="FACC1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Pivot_Tables!$K$2:$K$8</c:f>
              <c:strCache>
                <c:ptCount val="6"/>
                <c:pt idx="0">
                  <c:v>Jan</c:v>
                </c:pt>
                <c:pt idx="1">
                  <c:v>Feb</c:v>
                </c:pt>
                <c:pt idx="2">
                  <c:v>Mar</c:v>
                </c:pt>
                <c:pt idx="3">
                  <c:v>Apr</c:v>
                </c:pt>
                <c:pt idx="4">
                  <c:v>May</c:v>
                </c:pt>
                <c:pt idx="5">
                  <c:v>Jun</c:v>
                </c:pt>
              </c:strCache>
            </c:strRef>
          </c:cat>
          <c:val>
            <c:numRef>
              <c:f>Pivot_Tables!$L$2:$L$8</c:f>
              <c:numCache>
                <c:formatCode>General</c:formatCode>
                <c:ptCount val="6"/>
                <c:pt idx="0">
                  <c:v>9539.86</c:v>
                </c:pt>
                <c:pt idx="1">
                  <c:v>9159.5400000000009</c:v>
                </c:pt>
                <c:pt idx="2">
                  <c:v>10178.92</c:v>
                </c:pt>
                <c:pt idx="3">
                  <c:v>10734.69</c:v>
                </c:pt>
                <c:pt idx="4">
                  <c:v>9143.82</c:v>
                </c:pt>
                <c:pt idx="5">
                  <c:v>9538.52</c:v>
                </c:pt>
              </c:numCache>
            </c:numRef>
          </c:val>
          <c:smooth val="0"/>
          <c:extLst>
            <c:ext xmlns:c16="http://schemas.microsoft.com/office/drawing/2014/chart" uri="{C3380CC4-5D6E-409C-BE32-E72D297353CC}">
              <c16:uniqueId val="{00000000-52DF-49BE-A28C-9D86B279E16A}"/>
            </c:ext>
          </c:extLst>
        </c:ser>
        <c:dLbls>
          <c:dLblPos val="t"/>
          <c:showLegendKey val="0"/>
          <c:showVal val="1"/>
          <c:showCatName val="0"/>
          <c:showSerName val="0"/>
          <c:showPercent val="0"/>
          <c:showBubbleSize val="0"/>
        </c:dLbls>
        <c:smooth val="0"/>
        <c:axId val="454033823"/>
        <c:axId val="454025663"/>
      </c:lineChart>
      <c:catAx>
        <c:axId val="454033823"/>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solidFill>
                      <a:schemeClr val="bg1"/>
                    </a:solidFill>
                  </a:rPr>
                  <a:t>Order</a:t>
                </a:r>
                <a:r>
                  <a:rPr lang="en-IN" sz="1100" baseline="0">
                    <a:solidFill>
                      <a:schemeClr val="bg1"/>
                    </a:solidFill>
                  </a:rPr>
                  <a:t> Date(Month)</a:t>
                </a:r>
                <a:endParaRPr lang="en-IN" sz="1100">
                  <a:solidFill>
                    <a:schemeClr val="bg1"/>
                  </a:solidFill>
                </a:endParaRPr>
              </a:p>
            </c:rich>
          </c:tx>
          <c:layout>
            <c:manualLayout>
              <c:xMode val="edge"/>
              <c:yMode val="edge"/>
              <c:x val="0.38641158136482939"/>
              <c:y val="0.8763594172112032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54025663"/>
        <c:crosses val="autoZero"/>
        <c:auto val="1"/>
        <c:lblAlgn val="ctr"/>
        <c:lblOffset val="100"/>
        <c:noMultiLvlLbl val="0"/>
      </c:catAx>
      <c:valAx>
        <c:axId val="45402566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solidFill>
                      <a:schemeClr val="bg1"/>
                    </a:solidFill>
                  </a:rPr>
                  <a:t>Total</a:t>
                </a:r>
                <a:r>
                  <a:rPr lang="en-IN" sz="1100" baseline="0">
                    <a:solidFill>
                      <a:schemeClr val="bg1"/>
                    </a:solidFill>
                  </a:rPr>
                  <a:t> Sales</a:t>
                </a:r>
                <a:endParaRPr lang="en-IN" sz="1100">
                  <a:solidFill>
                    <a:schemeClr val="bg1"/>
                  </a:solidFill>
                </a:endParaRPr>
              </a:p>
            </c:rich>
          </c:tx>
          <c:layout>
            <c:manualLayout>
              <c:xMode val="edge"/>
              <c:yMode val="edge"/>
              <c:x val="1.5625E-2"/>
              <c:y val="0.3150564836408136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54033823"/>
        <c:crosses val="autoZero"/>
        <c:crossBetween val="between"/>
      </c:valAx>
      <c:spPr>
        <a:noFill/>
        <a:ln>
          <a:solidFill>
            <a:srgbClr val="111827"/>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Dashboard.xlsx]Pivot_Tables!PivotTable5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a:solidFill>
                  <a:schemeClr val="bg1"/>
                </a:solidFill>
              </a:rPr>
              <a:t>👥Customer</a:t>
            </a:r>
            <a:r>
              <a:rPr lang="en-IN" sz="1800" baseline="0">
                <a:solidFill>
                  <a:schemeClr val="bg1"/>
                </a:solidFill>
              </a:rPr>
              <a:t> Rating Analysis</a:t>
            </a:r>
            <a:endParaRPr lang="en-IN" sz="1800">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Pivot_Tables!$O$1</c:f>
              <c:strCache>
                <c:ptCount val="1"/>
                <c:pt idx="0">
                  <c:v>Total</c:v>
                </c:pt>
              </c:strCache>
            </c:strRef>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Pivot_Tables!$N$2:$N$7</c:f>
              <c:strCache>
                <c:ptCount val="5"/>
                <c:pt idx="0">
                  <c:v>1</c:v>
                </c:pt>
                <c:pt idx="1">
                  <c:v>2</c:v>
                </c:pt>
                <c:pt idx="2">
                  <c:v>3</c:v>
                </c:pt>
                <c:pt idx="3">
                  <c:v>4</c:v>
                </c:pt>
                <c:pt idx="4">
                  <c:v>5</c:v>
                </c:pt>
              </c:strCache>
            </c:strRef>
          </c:cat>
          <c:val>
            <c:numRef>
              <c:f>Pivot_Tables!$O$2:$O$7</c:f>
              <c:numCache>
                <c:formatCode>General</c:formatCode>
                <c:ptCount val="5"/>
                <c:pt idx="0">
                  <c:v>133</c:v>
                </c:pt>
                <c:pt idx="1">
                  <c:v>121</c:v>
                </c:pt>
                <c:pt idx="2">
                  <c:v>114</c:v>
                </c:pt>
                <c:pt idx="3">
                  <c:v>110</c:v>
                </c:pt>
                <c:pt idx="4">
                  <c:v>122</c:v>
                </c:pt>
              </c:numCache>
            </c:numRef>
          </c:val>
          <c:extLst>
            <c:ext xmlns:c16="http://schemas.microsoft.com/office/drawing/2014/chart" uri="{C3380CC4-5D6E-409C-BE32-E72D297353CC}">
              <c16:uniqueId val="{00000000-7B04-4878-96F2-75ABB16BFFD1}"/>
            </c:ext>
          </c:extLst>
        </c:ser>
        <c:dLbls>
          <c:dLblPos val="outEnd"/>
          <c:showLegendKey val="0"/>
          <c:showVal val="1"/>
          <c:showCatName val="0"/>
          <c:showSerName val="0"/>
          <c:showPercent val="0"/>
          <c:showBubbleSize val="0"/>
        </c:dLbls>
        <c:gapWidth val="182"/>
        <c:axId val="864398863"/>
        <c:axId val="864399823"/>
      </c:barChart>
      <c:catAx>
        <c:axId val="86439886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solidFill>
                      <a:schemeClr val="bg1"/>
                    </a:solidFill>
                  </a:rPr>
                  <a:t>Customer</a:t>
                </a:r>
                <a:r>
                  <a:rPr lang="en-IN" sz="1100" baseline="0">
                    <a:solidFill>
                      <a:schemeClr val="bg1"/>
                    </a:solidFill>
                  </a:rPr>
                  <a:t> Rating</a:t>
                </a:r>
                <a:endParaRPr lang="en-IN" sz="1100">
                  <a:solidFill>
                    <a:schemeClr val="bg1"/>
                  </a:solidFill>
                </a:endParaRPr>
              </a:p>
            </c:rich>
          </c:tx>
          <c:layout>
            <c:manualLayout>
              <c:xMode val="edge"/>
              <c:yMode val="edge"/>
              <c:x val="1.784223371118461E-2"/>
              <c:y val="0.32060266963277867"/>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64399823"/>
        <c:crosses val="autoZero"/>
        <c:auto val="1"/>
        <c:lblAlgn val="ctr"/>
        <c:lblOffset val="100"/>
        <c:noMultiLvlLbl val="0"/>
      </c:catAx>
      <c:valAx>
        <c:axId val="864399823"/>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solidFill>
                      <a:schemeClr val="bg1"/>
                    </a:solidFill>
                  </a:rPr>
                  <a:t>Count</a:t>
                </a:r>
                <a:r>
                  <a:rPr lang="en-IN" sz="1100" baseline="0">
                    <a:solidFill>
                      <a:schemeClr val="bg1"/>
                    </a:solidFill>
                  </a:rPr>
                  <a:t> of Orders</a:t>
                </a:r>
                <a:endParaRPr lang="en-IN" sz="1100">
                  <a:solidFill>
                    <a:schemeClr val="bg1"/>
                  </a:solidFill>
                </a:endParaRP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64398863"/>
        <c:crosses val="autoZero"/>
        <c:crossBetween val="between"/>
      </c:valAx>
      <c:spPr>
        <a:noFill/>
        <a:ln>
          <a:solidFill>
            <a:srgbClr val="111827"/>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Dashboard.xlsx]Pivot_Tables!PivotTable6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a:solidFill>
                  <a:schemeClr val="bg1"/>
                </a:solidFill>
              </a:rPr>
              <a:t>💳</a:t>
            </a:r>
            <a:r>
              <a:rPr lang="en-US" sz="1800">
                <a:solidFill>
                  <a:schemeClr val="bg1"/>
                </a:solidFill>
              </a:rPr>
              <a:t>Payment</a:t>
            </a:r>
            <a:r>
              <a:rPr lang="en-US" sz="1800" baseline="0">
                <a:solidFill>
                  <a:schemeClr val="bg1"/>
                </a:solidFill>
              </a:rPr>
              <a:t> Method Analysis</a:t>
            </a:r>
            <a:endParaRPr lang="en-US" sz="1800">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rgbClr val="EC48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2C55E"/>
          </a:solidFill>
          <a:ln w="19050">
            <a:solidFill>
              <a:srgbClr val="22C55E"/>
            </a:solidFill>
          </a:ln>
          <a:effectLst/>
        </c:spPr>
      </c:pivotFmt>
      <c:pivotFmt>
        <c:idx val="7"/>
        <c:spPr>
          <a:solidFill>
            <a:srgbClr val="3B82F6"/>
          </a:solidFill>
          <a:ln w="19050">
            <a:solidFill>
              <a:srgbClr val="3B82F6"/>
            </a:solidFill>
          </a:ln>
          <a:effectLst/>
        </c:spPr>
      </c:pivotFmt>
      <c:pivotFmt>
        <c:idx val="8"/>
        <c:spPr>
          <a:solidFill>
            <a:srgbClr val="EC4899"/>
          </a:solidFill>
          <a:ln w="19050">
            <a:solidFill>
              <a:srgbClr val="EC4899"/>
            </a:solidFill>
          </a:ln>
          <a:effectLst/>
        </c:spPr>
      </c:pivotFmt>
    </c:pivotFmts>
    <c:plotArea>
      <c:layout/>
      <c:doughnutChart>
        <c:varyColors val="1"/>
        <c:ser>
          <c:idx val="0"/>
          <c:order val="0"/>
          <c:tx>
            <c:strRef>
              <c:f>Pivot_Tables!$R$1</c:f>
              <c:strCache>
                <c:ptCount val="1"/>
                <c:pt idx="0">
                  <c:v>Total</c:v>
                </c:pt>
              </c:strCache>
            </c:strRef>
          </c:tx>
          <c:spPr>
            <a:ln>
              <a:solidFill>
                <a:srgbClr val="EC4899"/>
              </a:solidFill>
            </a:ln>
          </c:spPr>
          <c:dPt>
            <c:idx val="0"/>
            <c:bubble3D val="0"/>
            <c:spPr>
              <a:solidFill>
                <a:srgbClr val="22C55E"/>
              </a:solidFill>
              <a:ln w="19050">
                <a:solidFill>
                  <a:srgbClr val="22C55E"/>
                </a:solidFill>
              </a:ln>
              <a:effectLst/>
            </c:spPr>
            <c:extLst>
              <c:ext xmlns:c16="http://schemas.microsoft.com/office/drawing/2014/chart" uri="{C3380CC4-5D6E-409C-BE32-E72D297353CC}">
                <c16:uniqueId val="{00000001-2D8F-4ACF-BEFA-68F713EC725C}"/>
              </c:ext>
            </c:extLst>
          </c:dPt>
          <c:dPt>
            <c:idx val="1"/>
            <c:bubble3D val="0"/>
            <c:spPr>
              <a:solidFill>
                <a:srgbClr val="3B82F6"/>
              </a:solidFill>
              <a:ln w="19050">
                <a:solidFill>
                  <a:srgbClr val="3B82F6"/>
                </a:solidFill>
              </a:ln>
              <a:effectLst/>
            </c:spPr>
            <c:extLst>
              <c:ext xmlns:c16="http://schemas.microsoft.com/office/drawing/2014/chart" uri="{C3380CC4-5D6E-409C-BE32-E72D297353CC}">
                <c16:uniqueId val="{00000003-2D8F-4ACF-BEFA-68F713EC725C}"/>
              </c:ext>
            </c:extLst>
          </c:dPt>
          <c:dPt>
            <c:idx val="2"/>
            <c:bubble3D val="0"/>
            <c:spPr>
              <a:solidFill>
                <a:srgbClr val="EC4899"/>
              </a:solidFill>
              <a:ln w="19050">
                <a:solidFill>
                  <a:srgbClr val="EC4899"/>
                </a:solidFill>
              </a:ln>
              <a:effectLst/>
            </c:spPr>
            <c:extLst>
              <c:ext xmlns:c16="http://schemas.microsoft.com/office/drawing/2014/chart" uri="{C3380CC4-5D6E-409C-BE32-E72D297353CC}">
                <c16:uniqueId val="{00000005-2D8F-4ACF-BEFA-68F713EC725C}"/>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Pivot_Tables!$Q$2:$Q$5</c:f>
              <c:strCache>
                <c:ptCount val="3"/>
                <c:pt idx="0">
                  <c:v>Card</c:v>
                </c:pt>
                <c:pt idx="1">
                  <c:v>Cash</c:v>
                </c:pt>
                <c:pt idx="2">
                  <c:v>UPI</c:v>
                </c:pt>
              </c:strCache>
            </c:strRef>
          </c:cat>
          <c:val>
            <c:numRef>
              <c:f>Pivot_Tables!$R$2:$R$5</c:f>
              <c:numCache>
                <c:formatCode>General</c:formatCode>
                <c:ptCount val="3"/>
                <c:pt idx="0">
                  <c:v>203</c:v>
                </c:pt>
                <c:pt idx="1">
                  <c:v>184</c:v>
                </c:pt>
                <c:pt idx="2">
                  <c:v>213</c:v>
                </c:pt>
              </c:numCache>
            </c:numRef>
          </c:val>
          <c:extLst>
            <c:ext xmlns:c16="http://schemas.microsoft.com/office/drawing/2014/chart" uri="{C3380CC4-5D6E-409C-BE32-E72D297353CC}">
              <c16:uniqueId val="{00000006-2D8F-4ACF-BEFA-68F713EC725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Dashboard.xlsx]Pivot_Tables!PivotTable7</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IN" sz="1800" b="0" i="0" u="none" strike="noStrike" kern="1200" spc="0" baseline="0">
                <a:solidFill>
                  <a:sysClr val="window" lastClr="FFFFFF"/>
                </a:solidFill>
              </a:rPr>
              <a:t>📦</a:t>
            </a:r>
            <a:r>
              <a:rPr lang="en-US" sz="1800"/>
              <a:t>Quantity</a:t>
            </a:r>
            <a:r>
              <a:rPr lang="en-US" sz="1800" baseline="0"/>
              <a:t> Sold Analysis</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4B8A6"/>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Pivot_Tables!$U$1</c:f>
              <c:strCache>
                <c:ptCount val="1"/>
                <c:pt idx="0">
                  <c:v>Total</c:v>
                </c:pt>
              </c:strCache>
            </c:strRef>
          </c:tx>
          <c:spPr>
            <a:solidFill>
              <a:srgbClr val="14B8A6"/>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Pivot_Tables!$T$2:$T$8</c:f>
              <c:strCache>
                <c:ptCount val="6"/>
                <c:pt idx="0">
                  <c:v>Biryani</c:v>
                </c:pt>
                <c:pt idx="1">
                  <c:v>Burger</c:v>
                </c:pt>
                <c:pt idx="2">
                  <c:v>Dessert</c:v>
                </c:pt>
                <c:pt idx="3">
                  <c:v>Drinks</c:v>
                </c:pt>
                <c:pt idx="4">
                  <c:v>Pasta</c:v>
                </c:pt>
                <c:pt idx="5">
                  <c:v>Pizza</c:v>
                </c:pt>
              </c:strCache>
            </c:strRef>
          </c:cat>
          <c:val>
            <c:numRef>
              <c:f>Pivot_Tables!$U$2:$U$8</c:f>
              <c:numCache>
                <c:formatCode>General</c:formatCode>
                <c:ptCount val="6"/>
                <c:pt idx="0">
                  <c:v>412</c:v>
                </c:pt>
                <c:pt idx="1">
                  <c:v>279</c:v>
                </c:pt>
                <c:pt idx="2">
                  <c:v>346</c:v>
                </c:pt>
                <c:pt idx="3">
                  <c:v>388</c:v>
                </c:pt>
                <c:pt idx="4">
                  <c:v>357</c:v>
                </c:pt>
                <c:pt idx="5">
                  <c:v>346</c:v>
                </c:pt>
              </c:numCache>
            </c:numRef>
          </c:val>
          <c:extLst>
            <c:ext xmlns:c16="http://schemas.microsoft.com/office/drawing/2014/chart" uri="{C3380CC4-5D6E-409C-BE32-E72D297353CC}">
              <c16:uniqueId val="{00000000-4E4B-4F13-AAB4-ED07B10F715F}"/>
            </c:ext>
          </c:extLst>
        </c:ser>
        <c:dLbls>
          <c:dLblPos val="outEnd"/>
          <c:showLegendKey val="0"/>
          <c:showVal val="1"/>
          <c:showCatName val="0"/>
          <c:showSerName val="0"/>
          <c:showPercent val="0"/>
          <c:showBubbleSize val="0"/>
        </c:dLbls>
        <c:gapWidth val="182"/>
        <c:axId val="1695372223"/>
        <c:axId val="1695363583"/>
      </c:barChart>
      <c:catAx>
        <c:axId val="169537222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n-IN" sz="1100"/>
                  <a:t>Food</a:t>
                </a:r>
                <a:r>
                  <a:rPr lang="en-IN" sz="1100" baseline="0"/>
                  <a:t> Category</a:t>
                </a:r>
                <a:endParaRPr lang="en-IN" sz="1100"/>
              </a:p>
            </c:rich>
          </c:tx>
          <c:layout>
            <c:manualLayout>
              <c:xMode val="edge"/>
              <c:yMode val="edge"/>
              <c:x val="1.8261144638946975E-2"/>
              <c:y val="0.3270438147565314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95363583"/>
        <c:crosses val="autoZero"/>
        <c:auto val="1"/>
        <c:lblAlgn val="ctr"/>
        <c:lblOffset val="100"/>
        <c:noMultiLvlLbl val="0"/>
      </c:catAx>
      <c:valAx>
        <c:axId val="1695363583"/>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n-IN" sz="1100"/>
                  <a:t>Sum</a:t>
                </a:r>
                <a:r>
                  <a:rPr lang="en-IN" sz="1100" baseline="0"/>
                  <a:t> of Quantity</a:t>
                </a:r>
                <a:endParaRPr lang="en-IN" sz="1100"/>
              </a:p>
            </c:rich>
          </c:tx>
          <c:layout>
            <c:manualLayout>
              <c:xMode val="edge"/>
              <c:yMode val="edge"/>
              <c:x val="0.43152851326757402"/>
              <c:y val="0.9056469533771190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9537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chemeClr val="bg2">
          <a:lumMod val="2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Dashboard.xlsx]Pivot_Tables!PivotTable3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a:solidFill>
                  <a:schemeClr val="bg1"/>
                </a:solidFill>
              </a:rPr>
              <a:t>🚚</a:t>
            </a:r>
            <a:r>
              <a:rPr lang="en-US" sz="1800">
                <a:solidFill>
                  <a:schemeClr val="bg1"/>
                </a:solidFill>
              </a:rPr>
              <a:t>Delivery</a:t>
            </a:r>
            <a:r>
              <a:rPr lang="en-US" sz="1800" baseline="0">
                <a:solidFill>
                  <a:schemeClr val="bg1"/>
                </a:solidFill>
              </a:rPr>
              <a:t> Mode Analysis</a:t>
            </a:r>
            <a:endParaRPr lang="en-US" sz="1800">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97316"/>
          </a:solidFill>
          <a:ln w="19050">
            <a:solidFill>
              <a:schemeClr val="accent2">
                <a:lumMod val="75000"/>
              </a:schemeClr>
            </a:solidFill>
          </a:ln>
          <a:effectLst/>
        </c:spPr>
      </c:pivotFmt>
      <c:pivotFmt>
        <c:idx val="7"/>
        <c:spPr>
          <a:solidFill>
            <a:srgbClr val="14B8A6"/>
          </a:solidFill>
          <a:ln w="19050">
            <a:solidFill>
              <a:srgbClr val="14B8A6"/>
            </a:solidFill>
          </a:ln>
          <a:effectLst/>
        </c:spPr>
      </c:pivotFmt>
      <c:pivotFmt>
        <c:idx val="8"/>
        <c:spPr>
          <a:solidFill>
            <a:srgbClr val="6366F1"/>
          </a:solidFill>
          <a:ln w="19050">
            <a:solidFill>
              <a:srgbClr val="0070C0"/>
            </a:solidFill>
          </a:ln>
          <a:effectLst/>
        </c:spPr>
      </c:pivotFmt>
    </c:pivotFmts>
    <c:plotArea>
      <c:layout/>
      <c:pieChart>
        <c:varyColors val="1"/>
        <c:ser>
          <c:idx val="0"/>
          <c:order val="0"/>
          <c:tx>
            <c:strRef>
              <c:f>Pivot_Tables!$I$1</c:f>
              <c:strCache>
                <c:ptCount val="1"/>
                <c:pt idx="0">
                  <c:v>Total</c:v>
                </c:pt>
              </c:strCache>
            </c:strRef>
          </c:tx>
          <c:dPt>
            <c:idx val="0"/>
            <c:bubble3D val="0"/>
            <c:spPr>
              <a:solidFill>
                <a:srgbClr val="F97316"/>
              </a:solidFill>
              <a:ln w="19050">
                <a:solidFill>
                  <a:schemeClr val="accent2">
                    <a:lumMod val="75000"/>
                  </a:schemeClr>
                </a:solidFill>
              </a:ln>
              <a:effectLst/>
            </c:spPr>
            <c:extLst>
              <c:ext xmlns:c16="http://schemas.microsoft.com/office/drawing/2014/chart" uri="{C3380CC4-5D6E-409C-BE32-E72D297353CC}">
                <c16:uniqueId val="{00000001-1A3A-4FF8-94F4-5A2BC8DA0639}"/>
              </c:ext>
            </c:extLst>
          </c:dPt>
          <c:dPt>
            <c:idx val="1"/>
            <c:bubble3D val="0"/>
            <c:spPr>
              <a:solidFill>
                <a:srgbClr val="14B8A6"/>
              </a:solidFill>
              <a:ln w="19050">
                <a:solidFill>
                  <a:srgbClr val="14B8A6"/>
                </a:solidFill>
              </a:ln>
              <a:effectLst/>
            </c:spPr>
            <c:extLst>
              <c:ext xmlns:c16="http://schemas.microsoft.com/office/drawing/2014/chart" uri="{C3380CC4-5D6E-409C-BE32-E72D297353CC}">
                <c16:uniqueId val="{00000003-1A3A-4FF8-94F4-5A2BC8DA0639}"/>
              </c:ext>
            </c:extLst>
          </c:dPt>
          <c:dPt>
            <c:idx val="2"/>
            <c:bubble3D val="0"/>
            <c:spPr>
              <a:solidFill>
                <a:srgbClr val="6366F1"/>
              </a:solidFill>
              <a:ln w="19050">
                <a:solidFill>
                  <a:srgbClr val="0070C0"/>
                </a:solidFill>
              </a:ln>
              <a:effectLst/>
            </c:spPr>
            <c:extLst>
              <c:ext xmlns:c16="http://schemas.microsoft.com/office/drawing/2014/chart" uri="{C3380CC4-5D6E-409C-BE32-E72D297353CC}">
                <c16:uniqueId val="{00000005-1A3A-4FF8-94F4-5A2BC8DA063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Pivot_Tables!$H$2:$H$5</c:f>
              <c:strCache>
                <c:ptCount val="3"/>
                <c:pt idx="0">
                  <c:v>Delivery</c:v>
                </c:pt>
                <c:pt idx="1">
                  <c:v>Dine-In</c:v>
                </c:pt>
                <c:pt idx="2">
                  <c:v>Takeaway</c:v>
                </c:pt>
              </c:strCache>
            </c:strRef>
          </c:cat>
          <c:val>
            <c:numRef>
              <c:f>Pivot_Tables!$I$2:$I$5</c:f>
              <c:numCache>
                <c:formatCode>General</c:formatCode>
                <c:ptCount val="3"/>
                <c:pt idx="0">
                  <c:v>221</c:v>
                </c:pt>
                <c:pt idx="1">
                  <c:v>179</c:v>
                </c:pt>
                <c:pt idx="2">
                  <c:v>200</c:v>
                </c:pt>
              </c:numCache>
            </c:numRef>
          </c:val>
          <c:extLst>
            <c:ext xmlns:c16="http://schemas.microsoft.com/office/drawing/2014/chart" uri="{C3380CC4-5D6E-409C-BE32-E72D297353CC}">
              <c16:uniqueId val="{00000006-1A3A-4FF8-94F4-5A2BC8DA06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304799</xdr:colOff>
      <xdr:row>607</xdr:row>
      <xdr:rowOff>4011</xdr:rowOff>
    </xdr:from>
    <xdr:to>
      <xdr:col>11</xdr:col>
      <xdr:colOff>850231</xdr:colOff>
      <xdr:row>620</xdr:row>
      <xdr:rowOff>72691</xdr:rowOff>
    </xdr:to>
    <mc:AlternateContent xmlns:mc="http://schemas.openxmlformats.org/markup-compatibility/2006" xmlns:a14="http://schemas.microsoft.com/office/drawing/2010/main">
      <mc:Choice Requires="a14">
        <xdr:graphicFrame macro="">
          <xdr:nvGraphicFramePr>
            <xdr:cNvPr id="2" name="Food_Category">
              <a:extLst>
                <a:ext uri="{FF2B5EF4-FFF2-40B4-BE49-F238E27FC236}">
                  <a16:creationId xmlns:a16="http://schemas.microsoft.com/office/drawing/2014/main" id="{01E0C217-5615-8109-5DF7-C85F49CA1F69}"/>
                </a:ext>
              </a:extLst>
            </xdr:cNvPr>
            <xdr:cNvGraphicFramePr/>
          </xdr:nvGraphicFramePr>
          <xdr:xfrm>
            <a:off x="0" y="0"/>
            <a:ext cx="0" cy="0"/>
          </xdr:xfrm>
          <a:graphic>
            <a:graphicData uri="http://schemas.microsoft.com/office/drawing/2010/slicer">
              <sle:slicer xmlns:sle="http://schemas.microsoft.com/office/drawing/2010/slicer" name="Food_Category"/>
            </a:graphicData>
          </a:graphic>
        </xdr:graphicFrame>
      </mc:Choice>
      <mc:Fallback xmlns="">
        <xdr:sp macro="" textlink="">
          <xdr:nvSpPr>
            <xdr:cNvPr id="0" name=""/>
            <xdr:cNvSpPr>
              <a:spLocks noTextEdit="1"/>
            </xdr:cNvSpPr>
          </xdr:nvSpPr>
          <xdr:spPr>
            <a:xfrm>
              <a:off x="9873915" y="11217041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720691</xdr:colOff>
      <xdr:row>606</xdr:row>
      <xdr:rowOff>179271</xdr:rowOff>
    </xdr:from>
    <xdr:to>
      <xdr:col>13</xdr:col>
      <xdr:colOff>14838</xdr:colOff>
      <xdr:row>620</xdr:row>
      <xdr:rowOff>63467</xdr:rowOff>
    </xdr:to>
    <mc:AlternateContent xmlns:mc="http://schemas.openxmlformats.org/markup-compatibility/2006" xmlns:a14="http://schemas.microsoft.com/office/drawing/2010/main">
      <mc:Choice Requires="a14">
        <xdr:graphicFrame macro="">
          <xdr:nvGraphicFramePr>
            <xdr:cNvPr id="3" name="Delivery_Mode">
              <a:extLst>
                <a:ext uri="{FF2B5EF4-FFF2-40B4-BE49-F238E27FC236}">
                  <a16:creationId xmlns:a16="http://schemas.microsoft.com/office/drawing/2014/main" id="{E7937924-021A-5A58-88F4-2C1700B36470}"/>
                </a:ext>
              </a:extLst>
            </xdr:cNvPr>
            <xdr:cNvGraphicFramePr/>
          </xdr:nvGraphicFramePr>
          <xdr:xfrm>
            <a:off x="0" y="0"/>
            <a:ext cx="0" cy="0"/>
          </xdr:xfrm>
          <a:graphic>
            <a:graphicData uri="http://schemas.microsoft.com/office/drawing/2010/slicer">
              <sle:slicer xmlns:sle="http://schemas.microsoft.com/office/drawing/2010/slicer" name="Delivery_Mode"/>
            </a:graphicData>
          </a:graphic>
        </xdr:graphicFrame>
      </mc:Choice>
      <mc:Fallback xmlns="">
        <xdr:sp macro="" textlink="">
          <xdr:nvSpPr>
            <xdr:cNvPr id="0" name=""/>
            <xdr:cNvSpPr>
              <a:spLocks noTextEdit="1"/>
            </xdr:cNvSpPr>
          </xdr:nvSpPr>
          <xdr:spPr>
            <a:xfrm>
              <a:off x="11573175" y="11216118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1080436</xdr:colOff>
      <xdr:row>607</xdr:row>
      <xdr:rowOff>73794</xdr:rowOff>
    </xdr:from>
    <xdr:to>
      <xdr:col>14</xdr:col>
      <xdr:colOff>133952</xdr:colOff>
      <xdr:row>620</xdr:row>
      <xdr:rowOff>142474</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28986ED2-B25A-1AA1-CB09-90EBC7CB9D1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152120" y="11224019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1440180</xdr:colOff>
      <xdr:row>607</xdr:row>
      <xdr:rowOff>8422</xdr:rowOff>
    </xdr:from>
    <xdr:to>
      <xdr:col>15</xdr:col>
      <xdr:colOff>28475</xdr:colOff>
      <xdr:row>620</xdr:row>
      <xdr:rowOff>77102</xdr:rowOff>
    </xdr:to>
    <mc:AlternateContent xmlns:mc="http://schemas.openxmlformats.org/markup-compatibility/2006" xmlns:a14="http://schemas.microsoft.com/office/drawing/2010/main">
      <mc:Choice Requires="a14">
        <xdr:graphicFrame macro="">
          <xdr:nvGraphicFramePr>
            <xdr:cNvPr id="5" name="Customer_Rating">
              <a:extLst>
                <a:ext uri="{FF2B5EF4-FFF2-40B4-BE49-F238E27FC236}">
                  <a16:creationId xmlns:a16="http://schemas.microsoft.com/office/drawing/2014/main" id="{9598DFB0-E8ED-D90A-6834-0F50D68967DC}"/>
                </a:ext>
              </a:extLst>
            </xdr:cNvPr>
            <xdr:cNvGraphicFramePr/>
          </xdr:nvGraphicFramePr>
          <xdr:xfrm>
            <a:off x="0" y="0"/>
            <a:ext cx="0" cy="0"/>
          </xdr:xfrm>
          <a:graphic>
            <a:graphicData uri="http://schemas.microsoft.com/office/drawing/2010/slicer">
              <sle:slicer xmlns:sle="http://schemas.microsoft.com/office/drawing/2010/slicer" name="Customer_Rating"/>
            </a:graphicData>
          </a:graphic>
        </xdr:graphicFrame>
      </mc:Choice>
      <mc:Fallback xmlns="">
        <xdr:sp macro="" textlink="">
          <xdr:nvSpPr>
            <xdr:cNvPr id="0" name=""/>
            <xdr:cNvSpPr>
              <a:spLocks noTextEdit="1"/>
            </xdr:cNvSpPr>
          </xdr:nvSpPr>
          <xdr:spPr>
            <a:xfrm>
              <a:off x="14819296" y="11217482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298873</xdr:colOff>
      <xdr:row>7</xdr:row>
      <xdr:rowOff>71966</xdr:rowOff>
    </xdr:to>
    <xdr:sp macro="" textlink="">
      <xdr:nvSpPr>
        <xdr:cNvPr id="2" name="Rectangle: Rounded Corners 1">
          <a:extLst>
            <a:ext uri="{FF2B5EF4-FFF2-40B4-BE49-F238E27FC236}">
              <a16:creationId xmlns:a16="http://schemas.microsoft.com/office/drawing/2014/main" id="{47968339-51F0-B2FA-DAB1-11AB77C5B80A}"/>
            </a:ext>
          </a:extLst>
        </xdr:cNvPr>
        <xdr:cNvSpPr/>
      </xdr:nvSpPr>
      <xdr:spPr>
        <a:xfrm>
          <a:off x="0" y="0"/>
          <a:ext cx="19993642" cy="1302889"/>
        </a:xfrm>
        <a:prstGeom prst="roundRect">
          <a:avLst/>
        </a:prstGeom>
        <a:solidFill>
          <a:srgbClr val="111827"/>
        </a:solidFill>
        <a:ln>
          <a:solidFill>
            <a:srgbClr val="0F17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b="1">
              <a:solidFill>
                <a:schemeClr val="bg1"/>
              </a:solidFill>
            </a:rPr>
            <a:t>🍽️Restaurant Sales</a:t>
          </a:r>
          <a:r>
            <a:rPr lang="en-IN" sz="6000" b="1" baseline="0">
              <a:solidFill>
                <a:schemeClr val="bg1"/>
              </a:solidFill>
            </a:rPr>
            <a:t> Dashboard</a:t>
          </a:r>
          <a:r>
            <a:rPr lang="en-IN" sz="6000" b="1">
              <a:solidFill>
                <a:schemeClr val="bg1"/>
              </a:solidFill>
            </a:rPr>
            <a:t>📊</a:t>
          </a:r>
        </a:p>
      </xdr:txBody>
    </xdr:sp>
    <xdr:clientData/>
  </xdr:twoCellAnchor>
  <xdr:twoCellAnchor>
    <xdr:from>
      <xdr:col>0</xdr:col>
      <xdr:colOff>459741</xdr:colOff>
      <xdr:row>9</xdr:row>
      <xdr:rowOff>120163</xdr:rowOff>
    </xdr:from>
    <xdr:to>
      <xdr:col>5</xdr:col>
      <xdr:colOff>594127</xdr:colOff>
      <xdr:row>18</xdr:row>
      <xdr:rowOff>54876</xdr:rowOff>
    </xdr:to>
    <xdr:sp macro="" textlink="">
      <xdr:nvSpPr>
        <xdr:cNvPr id="3" name="Rectangle: Rounded Corners 2">
          <a:extLst>
            <a:ext uri="{FF2B5EF4-FFF2-40B4-BE49-F238E27FC236}">
              <a16:creationId xmlns:a16="http://schemas.microsoft.com/office/drawing/2014/main" id="{BEBD26B2-EC41-4209-334C-61AD391482EC}"/>
            </a:ext>
          </a:extLst>
        </xdr:cNvPr>
        <xdr:cNvSpPr/>
      </xdr:nvSpPr>
      <xdr:spPr>
        <a:xfrm>
          <a:off x="459741" y="1702778"/>
          <a:ext cx="3211694" cy="1517329"/>
        </a:xfrm>
        <a:prstGeom prst="roundRect">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a:t>
          </a:r>
          <a:r>
            <a:rPr lang="en-IN" sz="3600" b="1">
              <a:solidFill>
                <a:schemeClr val="bg1"/>
              </a:solidFill>
            </a:rPr>
            <a:t>Total Sales</a:t>
          </a:r>
        </a:p>
        <a:p>
          <a:pPr algn="ctr"/>
          <a:r>
            <a:rPr lang="en-IN" sz="3600" b="1">
              <a:solidFill>
                <a:schemeClr val="bg1"/>
              </a:solidFill>
            </a:rPr>
            <a:t>18570</a:t>
          </a:r>
        </a:p>
      </xdr:txBody>
    </xdr:sp>
    <xdr:clientData/>
  </xdr:twoCellAnchor>
  <xdr:twoCellAnchor>
    <xdr:from>
      <xdr:col>6</xdr:col>
      <xdr:colOff>313201</xdr:colOff>
      <xdr:row>9</xdr:row>
      <xdr:rowOff>100624</xdr:rowOff>
    </xdr:from>
    <xdr:to>
      <xdr:col>12</xdr:col>
      <xdr:colOff>131052</xdr:colOff>
      <xdr:row>18</xdr:row>
      <xdr:rowOff>40104</xdr:rowOff>
    </xdr:to>
    <xdr:sp macro="" textlink="">
      <xdr:nvSpPr>
        <xdr:cNvPr id="4" name="Rectangle: Rounded Corners 3">
          <a:extLst>
            <a:ext uri="{FF2B5EF4-FFF2-40B4-BE49-F238E27FC236}">
              <a16:creationId xmlns:a16="http://schemas.microsoft.com/office/drawing/2014/main" id="{F80F0247-C118-4D05-9BA9-0E4DB2172884}"/>
            </a:ext>
          </a:extLst>
        </xdr:cNvPr>
        <xdr:cNvSpPr/>
      </xdr:nvSpPr>
      <xdr:spPr>
        <a:xfrm>
          <a:off x="4005970" y="1683239"/>
          <a:ext cx="3510620" cy="152209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bg1"/>
              </a:solidFill>
            </a:rPr>
            <a:t>🛒</a:t>
          </a:r>
          <a:r>
            <a:rPr lang="en-IN" sz="3600" b="1">
              <a:solidFill>
                <a:schemeClr val="bg1"/>
              </a:solidFill>
            </a:rPr>
            <a:t>Total Orders</a:t>
          </a:r>
        </a:p>
        <a:p>
          <a:pPr algn="ctr"/>
          <a:r>
            <a:rPr lang="en-IN" sz="3600" b="1">
              <a:solidFill>
                <a:schemeClr val="bg1"/>
              </a:solidFill>
            </a:rPr>
            <a:t>600</a:t>
          </a:r>
        </a:p>
      </xdr:txBody>
    </xdr:sp>
    <xdr:clientData/>
  </xdr:twoCellAnchor>
  <xdr:twoCellAnchor>
    <xdr:from>
      <xdr:col>12</xdr:col>
      <xdr:colOff>557432</xdr:colOff>
      <xdr:row>9</xdr:row>
      <xdr:rowOff>74573</xdr:rowOff>
    </xdr:from>
    <xdr:to>
      <xdr:col>19</xdr:col>
      <xdr:colOff>500446</xdr:colOff>
      <xdr:row>18</xdr:row>
      <xdr:rowOff>18403</xdr:rowOff>
    </xdr:to>
    <xdr:sp macro="" textlink="">
      <xdr:nvSpPr>
        <xdr:cNvPr id="5" name="Rectangle: Rounded Corners 4">
          <a:extLst>
            <a:ext uri="{FF2B5EF4-FFF2-40B4-BE49-F238E27FC236}">
              <a16:creationId xmlns:a16="http://schemas.microsoft.com/office/drawing/2014/main" id="{6CC107AA-762B-4FF5-A5FA-7F700544B7D7}"/>
            </a:ext>
          </a:extLst>
        </xdr:cNvPr>
        <xdr:cNvSpPr/>
      </xdr:nvSpPr>
      <xdr:spPr>
        <a:xfrm>
          <a:off x="7942970" y="1657188"/>
          <a:ext cx="4251245" cy="1526446"/>
        </a:xfrm>
        <a:prstGeom prst="roundRect">
          <a:avLst/>
        </a:prstGeom>
        <a:solidFill>
          <a:srgbClr val="FACC1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bg1"/>
              </a:solidFill>
            </a:rPr>
            <a:t>📊</a:t>
          </a:r>
          <a:r>
            <a:rPr lang="en-IN" sz="3600" b="1">
              <a:solidFill>
                <a:schemeClr val="bg1"/>
              </a:solidFill>
            </a:rPr>
            <a:t>Avg Order Value</a:t>
          </a:r>
        </a:p>
        <a:p>
          <a:pPr algn="ctr"/>
          <a:r>
            <a:rPr lang="en-IN" sz="3600" b="1">
              <a:solidFill>
                <a:schemeClr val="bg1"/>
              </a:solidFill>
            </a:rPr>
            <a:t>30.95</a:t>
          </a:r>
        </a:p>
      </xdr:txBody>
    </xdr:sp>
    <xdr:clientData/>
  </xdr:twoCellAnchor>
  <xdr:twoCellAnchor>
    <xdr:from>
      <xdr:col>20</xdr:col>
      <xdr:colOff>298547</xdr:colOff>
      <xdr:row>9</xdr:row>
      <xdr:rowOff>85971</xdr:rowOff>
    </xdr:from>
    <xdr:to>
      <xdr:col>28</xdr:col>
      <xdr:colOff>266797</xdr:colOff>
      <xdr:row>17</xdr:row>
      <xdr:rowOff>171153</xdr:rowOff>
    </xdr:to>
    <xdr:sp macro="" textlink="">
      <xdr:nvSpPr>
        <xdr:cNvPr id="6" name="Rectangle: Rounded Corners 5">
          <a:extLst>
            <a:ext uri="{FF2B5EF4-FFF2-40B4-BE49-F238E27FC236}">
              <a16:creationId xmlns:a16="http://schemas.microsoft.com/office/drawing/2014/main" id="{D59E6F28-0C52-4774-8714-EB83FAA81DB7}"/>
            </a:ext>
          </a:extLst>
        </xdr:cNvPr>
        <xdr:cNvSpPr/>
      </xdr:nvSpPr>
      <xdr:spPr>
        <a:xfrm>
          <a:off x="12607778" y="1668586"/>
          <a:ext cx="4891942" cy="1491952"/>
        </a:xfrm>
        <a:prstGeom prst="roundRect">
          <a:avLst/>
        </a:prstGeom>
        <a:solidFill>
          <a:srgbClr val="14B8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bg1"/>
              </a:solidFill>
            </a:rPr>
            <a:t>📦</a:t>
          </a:r>
          <a:r>
            <a:rPr lang="en-IN" sz="3600" b="1">
              <a:solidFill>
                <a:schemeClr val="bg1"/>
              </a:solidFill>
            </a:rPr>
            <a:t>Total Quantity Sold</a:t>
          </a:r>
        </a:p>
        <a:p>
          <a:pPr algn="ctr"/>
          <a:r>
            <a:rPr lang="en-IN" sz="3600" b="1">
              <a:solidFill>
                <a:schemeClr val="bg1"/>
              </a:solidFill>
            </a:rPr>
            <a:t>2128</a:t>
          </a:r>
        </a:p>
      </xdr:txBody>
    </xdr:sp>
    <xdr:clientData/>
  </xdr:twoCellAnchor>
  <xdr:twoCellAnchor>
    <xdr:from>
      <xdr:col>29</xdr:col>
      <xdr:colOff>34779</xdr:colOff>
      <xdr:row>9</xdr:row>
      <xdr:rowOff>22470</xdr:rowOff>
    </xdr:from>
    <xdr:to>
      <xdr:col>37</xdr:col>
      <xdr:colOff>554990</xdr:colOff>
      <xdr:row>17</xdr:row>
      <xdr:rowOff>133981</xdr:rowOff>
    </xdr:to>
    <xdr:sp macro="" textlink="">
      <xdr:nvSpPr>
        <xdr:cNvPr id="7" name="Rectangle: Rounded Corners 6">
          <a:extLst>
            <a:ext uri="{FF2B5EF4-FFF2-40B4-BE49-F238E27FC236}">
              <a16:creationId xmlns:a16="http://schemas.microsoft.com/office/drawing/2014/main" id="{2C5022DB-7A3D-4785-AE35-8017A215313B}"/>
            </a:ext>
          </a:extLst>
        </xdr:cNvPr>
        <xdr:cNvSpPr/>
      </xdr:nvSpPr>
      <xdr:spPr>
        <a:xfrm>
          <a:off x="17883164" y="1605085"/>
          <a:ext cx="5443903" cy="1518281"/>
        </a:xfrm>
        <a:prstGeom prst="roundRect">
          <a:avLst/>
        </a:prstGeom>
        <a:solidFill>
          <a:srgbClr val="22C55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bg1"/>
              </a:solidFill>
            </a:rPr>
            <a:t>⭐</a:t>
          </a:r>
          <a:r>
            <a:rPr lang="en-IN" sz="3600" b="1">
              <a:solidFill>
                <a:schemeClr val="bg1"/>
              </a:solidFill>
            </a:rPr>
            <a:t>Avg Customer Rating</a:t>
          </a:r>
        </a:p>
        <a:p>
          <a:pPr algn="ctr"/>
          <a:r>
            <a:rPr lang="en-IN" sz="3600" b="1">
              <a:solidFill>
                <a:schemeClr val="bg1"/>
              </a:solidFill>
            </a:rPr>
            <a:t>2.945</a:t>
          </a:r>
        </a:p>
      </xdr:txBody>
    </xdr:sp>
    <xdr:clientData/>
  </xdr:twoCellAnchor>
  <xdr:twoCellAnchor>
    <xdr:from>
      <xdr:col>0</xdr:col>
      <xdr:colOff>434339</xdr:colOff>
      <xdr:row>22</xdr:row>
      <xdr:rowOff>47626</xdr:rowOff>
    </xdr:from>
    <xdr:to>
      <xdr:col>8</xdr:col>
      <xdr:colOff>424814</xdr:colOff>
      <xdr:row>40</xdr:row>
      <xdr:rowOff>80596</xdr:rowOff>
    </xdr:to>
    <xdr:graphicFrame macro="">
      <xdr:nvGraphicFramePr>
        <xdr:cNvPr id="8" name="Chart 7">
          <a:extLst>
            <a:ext uri="{FF2B5EF4-FFF2-40B4-BE49-F238E27FC236}">
              <a16:creationId xmlns:a16="http://schemas.microsoft.com/office/drawing/2014/main" id="{7DF0C02C-DA65-4753-BEE0-EDDDB0C8A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462613</xdr:colOff>
      <xdr:row>22</xdr:row>
      <xdr:rowOff>47627</xdr:rowOff>
    </xdr:from>
    <xdr:to>
      <xdr:col>17</xdr:col>
      <xdr:colOff>516402</xdr:colOff>
      <xdr:row>40</xdr:row>
      <xdr:rowOff>38101</xdr:rowOff>
    </xdr:to>
    <xdr:graphicFrame macro="">
      <xdr:nvGraphicFramePr>
        <xdr:cNvPr id="9" name="Chart 8">
          <a:extLst>
            <a:ext uri="{FF2B5EF4-FFF2-40B4-BE49-F238E27FC236}">
              <a16:creationId xmlns:a16="http://schemas.microsoft.com/office/drawing/2014/main" id="{2FFB0A45-B811-4D7C-8C0E-613FE0006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440202</xdr:colOff>
      <xdr:row>41</xdr:row>
      <xdr:rowOff>109172</xdr:rowOff>
    </xdr:from>
    <xdr:to>
      <xdr:col>8</xdr:col>
      <xdr:colOff>440202</xdr:colOff>
      <xdr:row>57</xdr:row>
      <xdr:rowOff>109172</xdr:rowOff>
    </xdr:to>
    <xdr:graphicFrame macro="">
      <xdr:nvGraphicFramePr>
        <xdr:cNvPr id="11" name="Chart 10">
          <a:extLst>
            <a:ext uri="{FF2B5EF4-FFF2-40B4-BE49-F238E27FC236}">
              <a16:creationId xmlns:a16="http://schemas.microsoft.com/office/drawing/2014/main" id="{F87B7F92-BE3A-492B-B3E2-FA4B225F3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440201</xdr:colOff>
      <xdr:row>41</xdr:row>
      <xdr:rowOff>57151</xdr:rowOff>
    </xdr:from>
    <xdr:to>
      <xdr:col>17</xdr:col>
      <xdr:colOff>535452</xdr:colOff>
      <xdr:row>57</xdr:row>
      <xdr:rowOff>137747</xdr:rowOff>
    </xdr:to>
    <xdr:graphicFrame macro="">
      <xdr:nvGraphicFramePr>
        <xdr:cNvPr id="12" name="Chart 11">
          <a:extLst>
            <a:ext uri="{FF2B5EF4-FFF2-40B4-BE49-F238E27FC236}">
              <a16:creationId xmlns:a16="http://schemas.microsoft.com/office/drawing/2014/main" id="{F1A56379-3260-4945-8C46-7B9130E11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434339</xdr:colOff>
      <xdr:row>41</xdr:row>
      <xdr:rowOff>28576</xdr:rowOff>
    </xdr:from>
    <xdr:to>
      <xdr:col>26</xdr:col>
      <xdr:colOff>487826</xdr:colOff>
      <xdr:row>57</xdr:row>
      <xdr:rowOff>137747</xdr:rowOff>
    </xdr:to>
    <xdr:graphicFrame macro="">
      <xdr:nvGraphicFramePr>
        <xdr:cNvPr id="13" name="Chart 12">
          <a:extLst>
            <a:ext uri="{FF2B5EF4-FFF2-40B4-BE49-F238E27FC236}">
              <a16:creationId xmlns:a16="http://schemas.microsoft.com/office/drawing/2014/main" id="{28C8C2C5-B904-463E-8F78-379B3EB54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468777</xdr:colOff>
      <xdr:row>58</xdr:row>
      <xdr:rowOff>137747</xdr:rowOff>
    </xdr:from>
    <xdr:to>
      <xdr:col>8</xdr:col>
      <xdr:colOff>449727</xdr:colOff>
      <xdr:row>75</xdr:row>
      <xdr:rowOff>38101</xdr:rowOff>
    </xdr:to>
    <xdr:graphicFrame macro="">
      <xdr:nvGraphicFramePr>
        <xdr:cNvPr id="14" name="Chart 13">
          <a:extLst>
            <a:ext uri="{FF2B5EF4-FFF2-40B4-BE49-F238E27FC236}">
              <a16:creationId xmlns:a16="http://schemas.microsoft.com/office/drawing/2014/main" id="{B9409909-715F-4B5B-9B2E-C3945BDD6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434339</xdr:colOff>
      <xdr:row>22</xdr:row>
      <xdr:rowOff>9526</xdr:rowOff>
    </xdr:from>
    <xdr:to>
      <xdr:col>26</xdr:col>
      <xdr:colOff>449726</xdr:colOff>
      <xdr:row>40</xdr:row>
      <xdr:rowOff>19051</xdr:rowOff>
    </xdr:to>
    <xdr:graphicFrame macro="">
      <xdr:nvGraphicFramePr>
        <xdr:cNvPr id="15" name="Chart 14">
          <a:extLst>
            <a:ext uri="{FF2B5EF4-FFF2-40B4-BE49-F238E27FC236}">
              <a16:creationId xmlns:a16="http://schemas.microsoft.com/office/drawing/2014/main" id="{685E1332-307C-4CAC-BE0F-7C3434796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445872</xdr:colOff>
      <xdr:row>19</xdr:row>
      <xdr:rowOff>159231</xdr:rowOff>
    </xdr:from>
    <xdr:to>
      <xdr:col>39</xdr:col>
      <xdr:colOff>445871</xdr:colOff>
      <xdr:row>69</xdr:row>
      <xdr:rowOff>120383</xdr:rowOff>
    </xdr:to>
    <xdr:sp macro="" textlink="">
      <xdr:nvSpPr>
        <xdr:cNvPr id="20" name="Rectangle 19">
          <a:extLst>
            <a:ext uri="{FF2B5EF4-FFF2-40B4-BE49-F238E27FC236}">
              <a16:creationId xmlns:a16="http://schemas.microsoft.com/office/drawing/2014/main" id="{E3F4E7AD-0822-D342-606B-7499D3508218}"/>
            </a:ext>
          </a:extLst>
        </xdr:cNvPr>
        <xdr:cNvSpPr/>
      </xdr:nvSpPr>
      <xdr:spPr>
        <a:xfrm>
          <a:off x="17745331" y="3680907"/>
          <a:ext cx="6796216" cy="9228719"/>
        </a:xfrm>
        <a:prstGeom prst="rect">
          <a:avLst/>
        </a:prstGeom>
        <a:solidFill>
          <a:srgbClr val="111827"/>
        </a:solidFill>
        <a:ln>
          <a:solidFill>
            <a:srgbClr val="1118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baseline="0">
              <a:solidFill>
                <a:schemeClr val="bg1"/>
              </a:solidFill>
            </a:rPr>
            <a:t>                   </a:t>
          </a:r>
          <a:r>
            <a:rPr lang="en-US" sz="4400">
              <a:solidFill>
                <a:schemeClr val="bg1"/>
              </a:solidFill>
            </a:rPr>
            <a:t>🛒</a:t>
          </a:r>
          <a:endParaRPr lang="en-IN" sz="4400">
            <a:solidFill>
              <a:schemeClr val="bg1"/>
            </a:solidFill>
          </a:endParaRPr>
        </a:p>
      </xdr:txBody>
    </xdr:sp>
    <xdr:clientData/>
  </xdr:twoCellAnchor>
  <xdr:twoCellAnchor editAs="oneCell">
    <xdr:from>
      <xdr:col>30</xdr:col>
      <xdr:colOff>155741</xdr:colOff>
      <xdr:row>25</xdr:row>
      <xdr:rowOff>102973</xdr:rowOff>
    </xdr:from>
    <xdr:to>
      <xdr:col>37</xdr:col>
      <xdr:colOff>115114</xdr:colOff>
      <xdr:row>36</xdr:row>
      <xdr:rowOff>149089</xdr:rowOff>
    </xdr:to>
    <mc:AlternateContent xmlns:mc="http://schemas.openxmlformats.org/markup-compatibility/2006" xmlns:a14="http://schemas.microsoft.com/office/drawing/2010/main">
      <mc:Choice Requires="a14">
        <xdr:graphicFrame macro="">
          <xdr:nvGraphicFramePr>
            <xdr:cNvPr id="21" name="Food_Category 2">
              <a:extLst>
                <a:ext uri="{FF2B5EF4-FFF2-40B4-BE49-F238E27FC236}">
                  <a16:creationId xmlns:a16="http://schemas.microsoft.com/office/drawing/2014/main" id="{396E227B-8D8C-4073-9478-7E079A55550A}"/>
                </a:ext>
              </a:extLst>
            </xdr:cNvPr>
            <xdr:cNvGraphicFramePr/>
          </xdr:nvGraphicFramePr>
          <xdr:xfrm>
            <a:off x="0" y="0"/>
            <a:ext cx="0" cy="0"/>
          </xdr:xfrm>
          <a:graphic>
            <a:graphicData uri="http://schemas.microsoft.com/office/drawing/2010/slicer">
              <sle:slicer xmlns:sle="http://schemas.microsoft.com/office/drawing/2010/slicer" name="Food_Category 2"/>
            </a:graphicData>
          </a:graphic>
        </xdr:graphicFrame>
      </mc:Choice>
      <mc:Fallback xmlns="">
        <xdr:sp macro="" textlink="">
          <xdr:nvSpPr>
            <xdr:cNvPr id="0" name=""/>
            <xdr:cNvSpPr>
              <a:spLocks noTextEdit="1"/>
            </xdr:cNvSpPr>
          </xdr:nvSpPr>
          <xdr:spPr>
            <a:xfrm>
              <a:off x="18543132" y="4658408"/>
              <a:ext cx="4249765" cy="2050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202054</xdr:colOff>
      <xdr:row>61</xdr:row>
      <xdr:rowOff>20594</xdr:rowOff>
    </xdr:from>
    <xdr:to>
      <xdr:col>37</xdr:col>
      <xdr:colOff>233189</xdr:colOff>
      <xdr:row>68</xdr:row>
      <xdr:rowOff>127134</xdr:rowOff>
    </xdr:to>
    <mc:AlternateContent xmlns:mc="http://schemas.openxmlformats.org/markup-compatibility/2006" xmlns:a14="http://schemas.microsoft.com/office/drawing/2010/main">
      <mc:Choice Requires="a14">
        <xdr:graphicFrame macro="">
          <xdr:nvGraphicFramePr>
            <xdr:cNvPr id="22" name="Delivery_Mode 2">
              <a:extLst>
                <a:ext uri="{FF2B5EF4-FFF2-40B4-BE49-F238E27FC236}">
                  <a16:creationId xmlns:a16="http://schemas.microsoft.com/office/drawing/2014/main" id="{0DFEA440-7951-4314-88BE-4B977B45D818}"/>
                </a:ext>
              </a:extLst>
            </xdr:cNvPr>
            <xdr:cNvGraphicFramePr/>
          </xdr:nvGraphicFramePr>
          <xdr:xfrm>
            <a:off x="0" y="0"/>
            <a:ext cx="0" cy="0"/>
          </xdr:xfrm>
          <a:graphic>
            <a:graphicData uri="http://schemas.microsoft.com/office/drawing/2010/slicer">
              <sle:slicer xmlns:sle="http://schemas.microsoft.com/office/drawing/2010/slicer" name="Delivery_Mode 2"/>
            </a:graphicData>
          </a:graphic>
        </xdr:graphicFrame>
      </mc:Choice>
      <mc:Fallback xmlns="">
        <xdr:sp macro="" textlink="">
          <xdr:nvSpPr>
            <xdr:cNvPr id="0" name=""/>
            <xdr:cNvSpPr>
              <a:spLocks noTextEdit="1"/>
            </xdr:cNvSpPr>
          </xdr:nvSpPr>
          <xdr:spPr>
            <a:xfrm>
              <a:off x="18589445" y="11135855"/>
              <a:ext cx="4321527" cy="1382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151887</xdr:colOff>
      <xdr:row>38</xdr:row>
      <xdr:rowOff>20595</xdr:rowOff>
    </xdr:from>
    <xdr:to>
      <xdr:col>37</xdr:col>
      <xdr:colOff>111260</xdr:colOff>
      <xdr:row>45</xdr:row>
      <xdr:rowOff>77256</xdr:rowOff>
    </xdr:to>
    <mc:AlternateContent xmlns:mc="http://schemas.openxmlformats.org/markup-compatibility/2006" xmlns:a14="http://schemas.microsoft.com/office/drawing/2010/main">
      <mc:Choice Requires="a14">
        <xdr:graphicFrame macro="">
          <xdr:nvGraphicFramePr>
            <xdr:cNvPr id="23" name="Payment_Method 2">
              <a:extLst>
                <a:ext uri="{FF2B5EF4-FFF2-40B4-BE49-F238E27FC236}">
                  <a16:creationId xmlns:a16="http://schemas.microsoft.com/office/drawing/2014/main" id="{D67614BA-CF83-4B52-BC46-CD9810946435}"/>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8539278" y="6944856"/>
              <a:ext cx="4249765" cy="1332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176733</xdr:colOff>
      <xdr:row>47</xdr:row>
      <xdr:rowOff>164756</xdr:rowOff>
    </xdr:from>
    <xdr:to>
      <xdr:col>37</xdr:col>
      <xdr:colOff>131756</xdr:colOff>
      <xdr:row>58</xdr:row>
      <xdr:rowOff>41190</xdr:rowOff>
    </xdr:to>
    <mc:AlternateContent xmlns:mc="http://schemas.openxmlformats.org/markup-compatibility/2006" xmlns:a14="http://schemas.microsoft.com/office/drawing/2010/main">
      <mc:Choice Requires="a14">
        <xdr:graphicFrame macro="">
          <xdr:nvGraphicFramePr>
            <xdr:cNvPr id="24" name="Customer_Rating 2">
              <a:extLst>
                <a:ext uri="{FF2B5EF4-FFF2-40B4-BE49-F238E27FC236}">
                  <a16:creationId xmlns:a16="http://schemas.microsoft.com/office/drawing/2014/main" id="{2BC973CE-DD67-4D65-B9FC-36B2E3EE173C}"/>
                </a:ext>
              </a:extLst>
            </xdr:cNvPr>
            <xdr:cNvGraphicFramePr/>
          </xdr:nvGraphicFramePr>
          <xdr:xfrm>
            <a:off x="0" y="0"/>
            <a:ext cx="0" cy="0"/>
          </xdr:xfrm>
          <a:graphic>
            <a:graphicData uri="http://schemas.microsoft.com/office/drawing/2010/slicer">
              <sle:slicer xmlns:sle="http://schemas.microsoft.com/office/drawing/2010/slicer" name="Customer_Rating 2"/>
            </a:graphicData>
          </a:graphic>
        </xdr:graphicFrame>
      </mc:Choice>
      <mc:Fallback xmlns="">
        <xdr:sp macro="" textlink="">
          <xdr:nvSpPr>
            <xdr:cNvPr id="0" name=""/>
            <xdr:cNvSpPr>
              <a:spLocks noTextEdit="1"/>
            </xdr:cNvSpPr>
          </xdr:nvSpPr>
          <xdr:spPr>
            <a:xfrm>
              <a:off x="18564124" y="8728973"/>
              <a:ext cx="4245415" cy="1880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121724</xdr:colOff>
      <xdr:row>0</xdr:row>
      <xdr:rowOff>22471</xdr:rowOff>
    </xdr:from>
    <xdr:to>
      <xdr:col>36</xdr:col>
      <xdr:colOff>223325</xdr:colOff>
      <xdr:row>6</xdr:row>
      <xdr:rowOff>157937</xdr:rowOff>
    </xdr:to>
    <xdr:sp macro="" textlink="">
      <xdr:nvSpPr>
        <xdr:cNvPr id="25" name="Rectangle 24">
          <a:extLst>
            <a:ext uri="{FF2B5EF4-FFF2-40B4-BE49-F238E27FC236}">
              <a16:creationId xmlns:a16="http://schemas.microsoft.com/office/drawing/2014/main" id="{32DA2BFD-126A-D7C0-F463-0C76F0BD7C23}"/>
            </a:ext>
          </a:extLst>
        </xdr:cNvPr>
        <xdr:cNvSpPr/>
      </xdr:nvSpPr>
      <xdr:spPr>
        <a:xfrm>
          <a:off x="19201032" y="22471"/>
          <a:ext cx="3178908" cy="1190543"/>
        </a:xfrm>
        <a:prstGeom prst="rect">
          <a:avLst/>
        </a:prstGeom>
        <a:solidFill>
          <a:srgbClr val="111827"/>
        </a:solidFill>
        <a:ln>
          <a:solidFill>
            <a:srgbClr val="111827"/>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bg1"/>
              </a:solidFill>
            </a:rPr>
            <a:t>📅Date as of:</a:t>
          </a:r>
        </a:p>
        <a:p>
          <a:pPr algn="ctr"/>
          <a:r>
            <a:rPr lang="en-US" sz="2800" b="1">
              <a:solidFill>
                <a:schemeClr val="bg1"/>
              </a:solidFill>
            </a:rPr>
            <a:t>15 May 2026</a:t>
          </a:r>
          <a:endParaRPr lang="en-IN" sz="2800" b="1">
            <a:solidFill>
              <a:schemeClr val="bg1"/>
            </a:solidFill>
          </a:endParaRPr>
        </a:p>
      </xdr:txBody>
    </xdr:sp>
    <xdr:clientData/>
  </xdr:twoCellAnchor>
  <xdr:twoCellAnchor>
    <xdr:from>
      <xdr:col>9</xdr:col>
      <xdr:colOff>441960</xdr:colOff>
      <xdr:row>59</xdr:row>
      <xdr:rowOff>76200</xdr:rowOff>
    </xdr:from>
    <xdr:to>
      <xdr:col>27</xdr:col>
      <xdr:colOff>0</xdr:colOff>
      <xdr:row>74</xdr:row>
      <xdr:rowOff>167640</xdr:rowOff>
    </xdr:to>
    <xdr:sp macro="" textlink="">
      <xdr:nvSpPr>
        <xdr:cNvPr id="10" name="Rectangle: Rounded Corners 9">
          <a:extLst>
            <a:ext uri="{FF2B5EF4-FFF2-40B4-BE49-F238E27FC236}">
              <a16:creationId xmlns:a16="http://schemas.microsoft.com/office/drawing/2014/main" id="{2235C931-B747-7753-DC90-C6BF279010C4}"/>
            </a:ext>
          </a:extLst>
        </xdr:cNvPr>
        <xdr:cNvSpPr/>
      </xdr:nvSpPr>
      <xdr:spPr>
        <a:xfrm>
          <a:off x="5928360" y="10866120"/>
          <a:ext cx="10530840" cy="2834640"/>
        </a:xfrm>
        <a:prstGeom prst="roundRect">
          <a:avLst/>
        </a:prstGeom>
        <a:solidFill>
          <a:srgbClr val="111827"/>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FFC000"/>
              </a:solidFill>
            </a:rPr>
            <a:t>      </a:t>
          </a:r>
          <a:r>
            <a:rPr lang="en-US" sz="1800">
              <a:solidFill>
                <a:srgbClr val="FFC000"/>
              </a:solidFill>
            </a:rPr>
            <a:t>💡</a:t>
          </a:r>
          <a:r>
            <a:rPr lang="en-IN" sz="2000" b="1">
              <a:solidFill>
                <a:srgbClr val="FFC000"/>
              </a:solidFill>
            </a:rPr>
            <a:t>Key insights</a:t>
          </a:r>
        </a:p>
        <a:p>
          <a:pPr algn="l"/>
          <a:endParaRPr lang="en-IN" sz="1800">
            <a:solidFill>
              <a:srgbClr val="FFC000"/>
            </a:solidFill>
          </a:endParaRPr>
        </a:p>
        <a:p>
          <a:pPr algn="l"/>
          <a:r>
            <a:rPr lang="en-IN" sz="1800">
              <a:solidFill>
                <a:srgbClr val="FFC000"/>
              </a:solidFill>
            </a:rPr>
            <a:t>   </a:t>
          </a:r>
          <a:endParaRPr lang="en-US" sz="2400">
            <a:solidFill>
              <a:srgbClr val="FFC000"/>
            </a:solidFill>
          </a:endParaRPr>
        </a:p>
        <a:p>
          <a:pPr algn="l"/>
          <a:endParaRPr lang="en-IN" sz="1800" baseline="0">
            <a:solidFill>
              <a:schemeClr val="bg1"/>
            </a:solidFill>
          </a:endParaRPr>
        </a:p>
        <a:p>
          <a:pPr algn="l"/>
          <a:endParaRPr lang="en-IN" sz="1800" baseline="0">
            <a:solidFill>
              <a:schemeClr val="bg1"/>
            </a:solidFill>
          </a:endParaRPr>
        </a:p>
        <a:p>
          <a:pPr algn="l"/>
          <a:endParaRPr lang="en-IN" sz="1800" baseline="0">
            <a:solidFill>
              <a:schemeClr val="bg1"/>
            </a:solidFill>
          </a:endParaRPr>
        </a:p>
        <a:p>
          <a:pPr algn="l"/>
          <a:endParaRPr lang="en-IN" sz="1800" baseline="0">
            <a:solidFill>
              <a:schemeClr val="bg1"/>
            </a:solidFill>
          </a:endParaRPr>
        </a:p>
        <a:p>
          <a:pPr algn="l"/>
          <a:endParaRPr lang="en-IN" sz="1800" baseline="0">
            <a:solidFill>
              <a:schemeClr val="bg1"/>
            </a:solidFill>
          </a:endParaRPr>
        </a:p>
        <a:p>
          <a:pPr algn="l"/>
          <a:endParaRPr lang="en-IN" sz="1800" baseline="0">
            <a:solidFill>
              <a:schemeClr val="bg1"/>
            </a:solidFill>
          </a:endParaRPr>
        </a:p>
        <a:p>
          <a:pPr algn="l"/>
          <a:endParaRPr lang="en-IN" sz="1800">
            <a:solidFill>
              <a:schemeClr val="bg1"/>
            </a:solidFill>
          </a:endParaRPr>
        </a:p>
      </xdr:txBody>
    </xdr:sp>
    <xdr:clientData/>
  </xdr:twoCellAnchor>
  <xdr:twoCellAnchor>
    <xdr:from>
      <xdr:col>10</xdr:col>
      <xdr:colOff>198120</xdr:colOff>
      <xdr:row>62</xdr:row>
      <xdr:rowOff>30480</xdr:rowOff>
    </xdr:from>
    <xdr:to>
      <xdr:col>26</xdr:col>
      <xdr:colOff>167640</xdr:colOff>
      <xdr:row>62</xdr:row>
      <xdr:rowOff>106680</xdr:rowOff>
    </xdr:to>
    <xdr:cxnSp macro="">
      <xdr:nvCxnSpPr>
        <xdr:cNvPr id="17" name="Straight Connector 16">
          <a:extLst>
            <a:ext uri="{FF2B5EF4-FFF2-40B4-BE49-F238E27FC236}">
              <a16:creationId xmlns:a16="http://schemas.microsoft.com/office/drawing/2014/main" id="{EAD37E6A-28FE-9ACD-8F80-330CEC63EACD}"/>
            </a:ext>
          </a:extLst>
        </xdr:cNvPr>
        <xdr:cNvCxnSpPr/>
      </xdr:nvCxnSpPr>
      <xdr:spPr>
        <a:xfrm flipV="1">
          <a:off x="6294120" y="11369040"/>
          <a:ext cx="9723120" cy="7620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236484</xdr:colOff>
      <xdr:row>64</xdr:row>
      <xdr:rowOff>0</xdr:rowOff>
    </xdr:from>
    <xdr:to>
      <xdr:col>13</xdr:col>
      <xdr:colOff>249621</xdr:colOff>
      <xdr:row>73</xdr:row>
      <xdr:rowOff>39413</xdr:rowOff>
    </xdr:to>
    <xdr:sp macro="" textlink="">
      <xdr:nvSpPr>
        <xdr:cNvPr id="27" name="Rectangle 26">
          <a:extLst>
            <a:ext uri="{FF2B5EF4-FFF2-40B4-BE49-F238E27FC236}">
              <a16:creationId xmlns:a16="http://schemas.microsoft.com/office/drawing/2014/main" id="{8BAF0626-3144-5C69-2BED-C909F2C677BB}"/>
            </a:ext>
          </a:extLst>
        </xdr:cNvPr>
        <xdr:cNvSpPr/>
      </xdr:nvSpPr>
      <xdr:spPr>
        <a:xfrm>
          <a:off x="6279932" y="11771586"/>
          <a:ext cx="1826172" cy="1694793"/>
        </a:xfrm>
        <a:prstGeom prst="rect">
          <a:avLst/>
        </a:prstGeom>
        <a:solidFill>
          <a:srgbClr val="111827"/>
        </a:solidFill>
        <a:ln>
          <a:solidFill>
            <a:srgbClr val="1118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a:t>
          </a:r>
        </a:p>
        <a:p>
          <a:pPr algn="ctr"/>
          <a:r>
            <a:rPr lang="en-IN" sz="1800">
              <a:solidFill>
                <a:srgbClr val="FACC15"/>
              </a:solidFill>
            </a:rPr>
            <a:t>Biryani</a:t>
          </a:r>
        </a:p>
        <a:p>
          <a:pPr algn="ctr"/>
          <a:r>
            <a:rPr lang="en-IN" sz="1800"/>
            <a:t>had</a:t>
          </a:r>
          <a:r>
            <a:rPr lang="en-IN" sz="1800" baseline="0"/>
            <a:t> the</a:t>
          </a:r>
        </a:p>
        <a:p>
          <a:pPr algn="ctr"/>
          <a:r>
            <a:rPr lang="en-IN" sz="1800" baseline="0"/>
            <a:t> highest sales</a:t>
          </a:r>
          <a:endParaRPr lang="en-IN" sz="1800"/>
        </a:p>
      </xdr:txBody>
    </xdr:sp>
    <xdr:clientData/>
  </xdr:twoCellAnchor>
  <xdr:twoCellAnchor>
    <xdr:from>
      <xdr:col>14</xdr:col>
      <xdr:colOff>112872</xdr:colOff>
      <xdr:row>64</xdr:row>
      <xdr:rowOff>53603</xdr:rowOff>
    </xdr:from>
    <xdr:to>
      <xdr:col>17</xdr:col>
      <xdr:colOff>126010</xdr:colOff>
      <xdr:row>73</xdr:row>
      <xdr:rowOff>93016</xdr:rowOff>
    </xdr:to>
    <xdr:sp macro="" textlink="">
      <xdr:nvSpPr>
        <xdr:cNvPr id="28" name="Rectangle 27">
          <a:extLst>
            <a:ext uri="{FF2B5EF4-FFF2-40B4-BE49-F238E27FC236}">
              <a16:creationId xmlns:a16="http://schemas.microsoft.com/office/drawing/2014/main" id="{7B35F390-5A87-42C0-A8C0-61E2B52D638C}"/>
            </a:ext>
          </a:extLst>
        </xdr:cNvPr>
        <xdr:cNvSpPr/>
      </xdr:nvSpPr>
      <xdr:spPr>
        <a:xfrm>
          <a:off x="8618440" y="11916089"/>
          <a:ext cx="1835759" cy="1707576"/>
        </a:xfrm>
        <a:prstGeom prst="rect">
          <a:avLst/>
        </a:prstGeom>
        <a:solidFill>
          <a:srgbClr val="111827"/>
        </a:solidFill>
        <a:ln>
          <a:solidFill>
            <a:srgbClr val="1118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a:t>
          </a:r>
        </a:p>
        <a:p>
          <a:pPr algn="ctr"/>
          <a:r>
            <a:rPr lang="en-US" sz="1800">
              <a:solidFill>
                <a:srgbClr val="FACC15"/>
              </a:solidFill>
            </a:rPr>
            <a:t>Delivery</a:t>
          </a:r>
        </a:p>
        <a:p>
          <a:pPr algn="ctr"/>
          <a:r>
            <a:rPr lang="en-IN" sz="1800">
              <a:solidFill>
                <a:schemeClr val="bg1"/>
              </a:solidFill>
            </a:rPr>
            <a:t>orders dominated </a:t>
          </a:r>
        </a:p>
        <a:p>
          <a:pPr algn="ctr"/>
          <a:r>
            <a:rPr lang="en-IN" sz="1800">
              <a:solidFill>
                <a:schemeClr val="bg1"/>
              </a:solidFill>
            </a:rPr>
            <a:t>sales</a:t>
          </a:r>
        </a:p>
      </xdr:txBody>
    </xdr:sp>
    <xdr:clientData/>
  </xdr:twoCellAnchor>
  <xdr:twoCellAnchor>
    <xdr:from>
      <xdr:col>18</xdr:col>
      <xdr:colOff>16291</xdr:colOff>
      <xdr:row>64</xdr:row>
      <xdr:rowOff>32299</xdr:rowOff>
    </xdr:from>
    <xdr:to>
      <xdr:col>21</xdr:col>
      <xdr:colOff>29429</xdr:colOff>
      <xdr:row>73</xdr:row>
      <xdr:rowOff>73132</xdr:rowOff>
    </xdr:to>
    <xdr:sp macro="" textlink="">
      <xdr:nvSpPr>
        <xdr:cNvPr id="29" name="Rectangle 28">
          <a:extLst>
            <a:ext uri="{FF2B5EF4-FFF2-40B4-BE49-F238E27FC236}">
              <a16:creationId xmlns:a16="http://schemas.microsoft.com/office/drawing/2014/main" id="{18D45F55-97DB-4865-9669-F5A66DE7FB13}"/>
            </a:ext>
          </a:extLst>
        </xdr:cNvPr>
        <xdr:cNvSpPr/>
      </xdr:nvSpPr>
      <xdr:spPr>
        <a:xfrm>
          <a:off x="10952021" y="11894785"/>
          <a:ext cx="1835759" cy="1708996"/>
        </a:xfrm>
        <a:prstGeom prst="rect">
          <a:avLst/>
        </a:prstGeom>
        <a:solidFill>
          <a:srgbClr val="111827"/>
        </a:solidFill>
        <a:ln>
          <a:solidFill>
            <a:srgbClr val="1118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a:t>
          </a:r>
        </a:p>
        <a:p>
          <a:pPr algn="ctr"/>
          <a:r>
            <a:rPr lang="en-US" sz="1800">
              <a:solidFill>
                <a:srgbClr val="FACC15"/>
              </a:solidFill>
            </a:rPr>
            <a:t>Ratings</a:t>
          </a:r>
        </a:p>
        <a:p>
          <a:pPr algn="ctr"/>
          <a:r>
            <a:rPr lang="en-US" sz="1800"/>
            <a:t>were</a:t>
          </a:r>
          <a:r>
            <a:rPr lang="en-US" sz="1800" baseline="0"/>
            <a:t> mostly </a:t>
          </a:r>
        </a:p>
        <a:p>
          <a:pPr algn="ctr"/>
          <a:r>
            <a:rPr lang="en-US" sz="1800" baseline="0"/>
            <a:t>5 &amp; 1</a:t>
          </a:r>
          <a:endParaRPr lang="en-US" sz="1800"/>
        </a:p>
        <a:p>
          <a:pPr algn="l"/>
          <a:endParaRPr lang="en-IN" sz="2800"/>
        </a:p>
      </xdr:txBody>
    </xdr:sp>
    <xdr:clientData/>
  </xdr:twoCellAnchor>
  <xdr:twoCellAnchor>
    <xdr:from>
      <xdr:col>22</xdr:col>
      <xdr:colOff>3153</xdr:colOff>
      <xdr:row>64</xdr:row>
      <xdr:rowOff>14189</xdr:rowOff>
    </xdr:from>
    <xdr:to>
      <xdr:col>25</xdr:col>
      <xdr:colOff>16290</xdr:colOff>
      <xdr:row>73</xdr:row>
      <xdr:rowOff>53602</xdr:rowOff>
    </xdr:to>
    <xdr:sp macro="" textlink="">
      <xdr:nvSpPr>
        <xdr:cNvPr id="30" name="Rectangle 29">
          <a:extLst>
            <a:ext uri="{FF2B5EF4-FFF2-40B4-BE49-F238E27FC236}">
              <a16:creationId xmlns:a16="http://schemas.microsoft.com/office/drawing/2014/main" id="{7AB8EEEA-42D7-448B-B0A8-BC4D580CD765}"/>
            </a:ext>
          </a:extLst>
        </xdr:cNvPr>
        <xdr:cNvSpPr/>
      </xdr:nvSpPr>
      <xdr:spPr>
        <a:xfrm>
          <a:off x="13298739" y="11785775"/>
          <a:ext cx="1826172" cy="1694793"/>
        </a:xfrm>
        <a:prstGeom prst="rect">
          <a:avLst/>
        </a:prstGeom>
        <a:solidFill>
          <a:srgbClr val="111827"/>
        </a:solidFill>
        <a:ln>
          <a:solidFill>
            <a:srgbClr val="1118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a:t>
          </a:r>
        </a:p>
        <a:p>
          <a:pPr algn="ctr"/>
          <a:r>
            <a:rPr lang="en-US" sz="1800">
              <a:solidFill>
                <a:srgbClr val="FACC15"/>
              </a:solidFill>
            </a:rPr>
            <a:t>UPI &amp; Card</a:t>
          </a:r>
        </a:p>
        <a:p>
          <a:pPr algn="ctr"/>
          <a:r>
            <a:rPr lang="en-US" sz="1800">
              <a:solidFill>
                <a:schemeClr val="bg1"/>
              </a:solidFill>
            </a:rPr>
            <a:t>were most </a:t>
          </a:r>
        </a:p>
        <a:p>
          <a:pPr algn="ctr"/>
          <a:r>
            <a:rPr lang="en-US" sz="1800">
              <a:solidFill>
                <a:schemeClr val="bg1"/>
              </a:solidFill>
            </a:rPr>
            <a:t>used</a:t>
          </a:r>
          <a:endParaRPr lang="en-IN" sz="18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Mounika" refreshedDate="46157.805076273151" backgroundQuery="1" createdVersion="8" refreshedVersion="8" minRefreshableVersion="3" recordCount="0" supportSubquery="1" supportAdvancedDrill="1" xr:uid="{FEF56F47-CFEF-4E5F-92DF-BDF1C18D2E79}">
  <cacheSource type="external" connectionId="3"/>
  <cacheFields count="2">
    <cacheField name="[Restaurant_Data].[Food_Category].[Food_Category]" caption="Food_Category" numFmtId="0" hierarchy="4" level="1">
      <sharedItems count="6">
        <s v="Biryani"/>
        <s v="Burger"/>
        <s v="Dessert"/>
        <s v="Drinks"/>
        <s v="Pasta"/>
        <s v="Pizza"/>
      </sharedItems>
    </cacheField>
    <cacheField name="[Measures].[Sum of Total_Sales]" caption="Sum of Total_Sales" numFmtId="0" hierarchy="18" level="32767"/>
  </cacheFields>
  <cacheHierarchies count="21">
    <cacheHierarchy uniqueName="[Restaurant_Data].[Order_ID]" caption="Order_ID" attribute="1" defaultMemberUniqueName="[Restaurant_Data].[Order_ID].[All]" allUniqueName="[Restaurant_Data].[Order_ID].[All]" dimensionUniqueName="[Restaurant_Data]" displayFolder="" count="0" memberValueDatatype="130" unbalanced="0"/>
    <cacheHierarchy uniqueName="[Restaurant_Data].[Order_Date]" caption="Order_Date" attribute="1" time="1" defaultMemberUniqueName="[Restaurant_Data].[Order_Date].[All]" allUniqueName="[Restaurant_Data].[Order_Date].[All]" dimensionUniqueName="[Restaurant_Data]" displayFolder="" count="0" memberValueDatatype="7" unbalanced="0"/>
    <cacheHierarchy uniqueName="[Restaurant_Data].[Order_Time]" caption="Order_Time" attribute="1" time="1" defaultMemberUniqueName="[Restaurant_Data].[Order_Time].[All]" allUniqueName="[Restaurant_Data].[Order_Time].[All]" dimensionUniqueName="[Restaurant_Data]" displayFolder="" count="0" memberValueDatatype="7" unbalanced="0"/>
    <cacheHierarchy uniqueName="[Restaurant_Data].[Customer_Name]" caption="Customer_Name" attribute="1" defaultMemberUniqueName="[Restaurant_Data].[Customer_Name].[All]" allUniqueName="[Restaurant_Data].[Customer_Name].[All]" dimensionUniqueName="[Restaurant_Data]" displayFolder="" count="0" memberValueDatatype="130" unbalanced="0"/>
    <cacheHierarchy uniqueName="[Restaurant_Data].[Food_Category]" caption="Food_Category" attribute="1" defaultMemberUniqueName="[Restaurant_Data].[Food_Category].[All]" allUniqueName="[Restaurant_Data].[Food_Category].[All]" dimensionUniqueName="[Restaurant_Data]" displayFolder="" count="2" memberValueDatatype="130" unbalanced="0">
      <fieldsUsage count="2">
        <fieldUsage x="-1"/>
        <fieldUsage x="0"/>
      </fieldsUsage>
    </cacheHierarchy>
    <cacheHierarchy uniqueName="[Restaurant_Data].[Item_Name]" caption="Item_Name" attribute="1" defaultMemberUniqueName="[Restaurant_Data].[Item_Name].[All]" allUniqueName="[Restaurant_Data].[Item_Name].[All]" dimensionUniqueName="[Restaurant_Data]" displayFolder="" count="0" memberValueDatatype="130" unbalanced="0"/>
    <cacheHierarchy uniqueName="[Restaurant_Data].[Quantity]" caption="Quantity" attribute="1" defaultMemberUniqueName="[Restaurant_Data].[Quantity].[All]" allUniqueName="[Restaurant_Data].[Quantity].[All]" dimensionUniqueName="[Restaurant_Data]" displayFolder="" count="0" memberValueDatatype="20" unbalanced="0"/>
    <cacheHierarchy uniqueName="[Restaurant_Data].[Unit_Price]" caption="Unit_Price" attribute="1" defaultMemberUniqueName="[Restaurant_Data].[Unit_Price].[All]" allUniqueName="[Restaurant_Data].[Unit_Price].[All]" dimensionUniqueName="[Restaurant_Data]" displayFolder="" count="0" memberValueDatatype="5" unbalanced="0"/>
    <cacheHierarchy uniqueName="[Restaurant_Data].[Total_Sales]" caption="Total_Sales" attribute="1" defaultMemberUniqueName="[Restaurant_Data].[Total_Sales].[All]" allUniqueName="[Restaurant_Data].[Total_Sales].[All]" dimensionUniqueName="[Restaurant_Data]" displayFolder="" count="0" memberValueDatatype="5" unbalanced="0"/>
    <cacheHierarchy uniqueName="[Restaurant_Data].[Delivery_Mode]" caption="Delivery_Mode" attribute="1" defaultMemberUniqueName="[Restaurant_Data].[Delivery_Mode].[All]" allUniqueName="[Restaurant_Data].[Delivery_Mode].[All]" dimensionUniqueName="[Restaurant_Data]" displayFolder="" count="2" memberValueDatatype="130" unbalanced="0"/>
    <cacheHierarchy uniqueName="[Restaurant_Data].[Payment_Method]" caption="Payment_Method" attribute="1" defaultMemberUniqueName="[Restaurant_Data].[Payment_Method].[All]" allUniqueName="[Restaurant_Data].[Payment_Method].[All]" dimensionUniqueName="[Restaurant_Data]" displayFolder="" count="2" memberValueDatatype="130" unbalanced="0"/>
    <cacheHierarchy uniqueName="[Restaurant_Data].[Customer_Rating]" caption="Customer_Rating" attribute="1" defaultMemberUniqueName="[Restaurant_Data].[Customer_Rating].[All]" allUniqueName="[Restaurant_Data].[Customer_Rating].[All]" dimensionUniqueName="[Restaurant_Data]" displayFolder="" count="2" memberValueDatatype="20" unbalanced="0"/>
    <cacheHierarchy uniqueName="[Restaurant_Data].[Order_Time (Hour)]" caption="Order_Time (Hour)" attribute="1" defaultMemberUniqueName="[Restaurant_Data].[Order_Time (Hour)].[All]" allUniqueName="[Restaurant_Data].[Order_Time (Hour)].[All]" dimensionUniqueName="[Restaurant_Data]" displayFolder="" count="0" memberValueDatatype="130" unbalanced="0"/>
    <cacheHierarchy uniqueName="[Restaurant_Data].[Order_Time (Minute)]" caption="Order_Time (Minute)" attribute="1" defaultMemberUniqueName="[Restaurant_Data].[Order_Time (Minute)].[All]" allUniqueName="[Restaurant_Data].[Order_Time (Minute)].[All]" dimensionUniqueName="[Restaurant_Data]" displayFolder="" count="0" memberValueDatatype="130" unbalanced="0"/>
    <cacheHierarchy uniqueName="[Restaurant_Data].[Order_Date (Month)]" caption="Order_Date (Month)" attribute="1" defaultMemberUniqueName="[Restaurant_Data].[Order_Date (Month)].[All]" allUniqueName="[Restaurant_Data].[Order_Date (Month)].[All]" dimensionUniqueName="[Restaurant_Data]" displayFolder="" count="0" memberValueDatatype="130" unbalanced="0"/>
    <cacheHierarchy uniqueName="[Restaurant_Data].[Order_Date (Month Index)]" caption="Order_Date (Month Index)" attribute="1" defaultMemberUniqueName="[Restaurant_Data].[Order_Date (Month Index)].[All]" allUniqueName="[Restaurant_Data].[Order_Date (Month Index)].[All]" dimensionUniqueName="[Restaurant_Data]" displayFolder="" count="0" memberValueDatatype="20" unbalanced="0" hidden="1"/>
    <cacheHierarchy uniqueName="[Measures].[__XL_Count Restaurant_Data]" caption="__XL_Count Restaurant_Data" measure="1" displayFolder="" measureGroup="Restaurant_Data" count="0" hidden="1"/>
    <cacheHierarchy uniqueName="[Measures].[__No measures defined]" caption="__No measures defined" measure="1" displayFolder="" count="0" hidden="1"/>
    <cacheHierarchy uniqueName="[Measures].[Sum of Total_Sales]" caption="Sum of Total_Sales" measure="1" displayFolder="" measureGroup="Restaurant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Restaurant_Data"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aurant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estaurant_Data" uniqueName="[Restaurant_Data]" caption="Restaurant_Data"/>
  </dimensions>
  <measureGroups count="1">
    <measureGroup name="Restaurant_Data" caption="Restaurant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Mounika" refreshedDate="46157.805076851851" backgroundQuery="1" createdVersion="8" refreshedVersion="8" minRefreshableVersion="3" recordCount="0" supportSubquery="1" supportAdvancedDrill="1" xr:uid="{CE5F8422-806D-4678-952F-71F99D2AD2BB}">
  <cacheSource type="external" connectionId="3"/>
  <cacheFields count="6">
    <cacheField name="[Restaurant_Data].[Order_Time].[Order_Time]" caption="Order_Time" numFmtId="0" hierarchy="2" level="1">
      <sharedItems containsSemiMixedTypes="0" containsNonDate="0" containsDate="1" containsString="0" minDate="1899-12-30T09:03:00" maxDate="1899-12-30T23:58:00" count="441">
        <d v="1899-12-30T10:01:00"/>
        <d v="1899-12-30T10:05:00"/>
        <d v="1899-12-30T10:09:00"/>
        <d v="1899-12-30T10:10:00"/>
        <d v="1899-12-30T10:14:00"/>
        <d v="1899-12-30T10:15:00"/>
        <d v="1899-12-30T10:17:00"/>
        <d v="1899-12-30T10:19:00"/>
        <d v="1899-12-30T10:20:00"/>
        <d v="1899-12-30T10:22:00"/>
        <d v="1899-12-30T10:23:00"/>
        <d v="1899-12-30T10:25:00"/>
        <d v="1899-12-30T10:26:00"/>
        <d v="1899-12-30T10:27:00"/>
        <d v="1899-12-30T10:29:00"/>
        <d v="1899-12-30T10:32:00"/>
        <d v="1899-12-30T10:33:00"/>
        <d v="1899-12-30T10:34:00"/>
        <d v="1899-12-30T10:36:00"/>
        <d v="1899-12-30T10:38:00"/>
        <d v="1899-12-30T10:40:00"/>
        <d v="1899-12-30T10:42:00"/>
        <d v="1899-12-30T10:48:00"/>
        <d v="1899-12-30T10:49:00"/>
        <d v="1899-12-30T10:50:00"/>
        <d v="1899-12-30T10:51:00"/>
        <d v="1899-12-30T10:52:00"/>
        <d v="1899-12-30T10:53:00"/>
        <d v="1899-12-30T10:56:00"/>
        <d v="1899-12-30T10:57:00"/>
        <d v="1899-12-30T11:01:00"/>
        <d v="1899-12-30T11:02:00"/>
        <d v="1899-12-30T11:03:00"/>
        <d v="1899-12-30T11:04:00"/>
        <d v="1899-12-30T11:05:00"/>
        <d v="1899-12-30T11:06:00"/>
        <d v="1899-12-30T11:07:00"/>
        <d v="1899-12-30T11:09:00"/>
        <d v="1899-12-30T11:10:00"/>
        <d v="1899-12-30T11:13:00"/>
        <d v="1899-12-30T11:17:00"/>
        <d v="1899-12-30T11:19:00"/>
        <d v="1899-12-30T11:20:00"/>
        <d v="1899-12-30T11:23:00"/>
        <d v="1899-12-30T11:24:00"/>
        <d v="1899-12-30T11:25:00"/>
        <d v="1899-12-30T11:26:00"/>
        <d v="1899-12-30T11:27:00"/>
        <d v="1899-12-30T11:29:00"/>
        <d v="1899-12-30T11:30:00"/>
        <d v="1899-12-30T11:33:00"/>
        <d v="1899-12-30T11:37:00"/>
        <d v="1899-12-30T11:38:00"/>
        <d v="1899-12-30T11:40:00"/>
        <d v="1899-12-30T11:42:00"/>
        <d v="1899-12-30T11:43:00"/>
        <d v="1899-12-30T11:45:00"/>
        <d v="1899-12-30T11:46:00"/>
        <d v="1899-12-30T11:49:00"/>
        <d v="1899-12-30T11:50:00"/>
        <d v="1899-12-30T11:53:00"/>
        <d v="1899-12-30T11:56:00"/>
        <d v="1899-12-30T11:58:00"/>
        <d v="1899-12-30T12:00:00"/>
        <d v="1899-12-30T12:02:00"/>
        <d v="1899-12-30T12:03:00"/>
        <d v="1899-12-30T12:04:00"/>
        <d v="1899-12-30T12:07:00"/>
        <d v="1899-12-30T12:17:00"/>
        <d v="1899-12-30T12:18:00"/>
        <d v="1899-12-30T12:22:00"/>
        <d v="1899-12-30T12:24:00"/>
        <d v="1899-12-30T12:26:00"/>
        <d v="1899-12-30T12:27:00"/>
        <d v="1899-12-30T12:28:00"/>
        <d v="1899-12-30T12:30:00"/>
        <d v="1899-12-30T12:31:00"/>
        <d v="1899-12-30T12:32:00"/>
        <d v="1899-12-30T12:33:00"/>
        <d v="1899-12-30T12:34:00"/>
        <d v="1899-12-30T12:36:00"/>
        <d v="1899-12-30T12:37:00"/>
        <d v="1899-12-30T12:38:00"/>
        <d v="1899-12-30T12:39:00"/>
        <d v="1899-12-30T12:42:00"/>
        <d v="1899-12-30T12:44:00"/>
        <d v="1899-12-30T12:45:00"/>
        <d v="1899-12-30T12:46:00"/>
        <d v="1899-12-30T12:47:00"/>
        <d v="1899-12-30T12:48:00"/>
        <d v="1899-12-30T12:49:00"/>
        <d v="1899-12-30T12:51:00"/>
        <d v="1899-12-30T12:52:00"/>
        <d v="1899-12-30T12:53:00"/>
        <d v="1899-12-30T12:57:00"/>
        <d v="1899-12-30T12:58:00"/>
        <d v="1899-12-30T13:00:00"/>
        <d v="1899-12-30T13:01:00"/>
        <d v="1899-12-30T13:02:00"/>
        <d v="1899-12-30T13:03:00"/>
        <d v="1899-12-30T13:07:00"/>
        <d v="1899-12-30T13:09:00"/>
        <d v="1899-12-30T13:10:00"/>
        <d v="1899-12-30T13:14:00"/>
        <d v="1899-12-30T13:16:00"/>
        <d v="1899-12-30T13:21:00"/>
        <d v="1899-12-30T13:22:00"/>
        <d v="1899-12-30T13:24:00"/>
        <d v="1899-12-30T13:25:00"/>
        <d v="1899-12-30T13:26:00"/>
        <d v="1899-12-30T13:27:00"/>
        <d v="1899-12-30T13:28:00"/>
        <d v="1899-12-30T13:29:00"/>
        <d v="1899-12-30T13:30:00"/>
        <d v="1899-12-30T13:31:00"/>
        <d v="1899-12-30T13:39:00"/>
        <d v="1899-12-30T13:40:00"/>
        <d v="1899-12-30T13:41:00"/>
        <d v="1899-12-30T13:42:00"/>
        <d v="1899-12-30T13:44:00"/>
        <d v="1899-12-30T13:45:00"/>
        <d v="1899-12-30T13:46:00"/>
        <d v="1899-12-30T13:47:00"/>
        <d v="1899-12-30T13:49:00"/>
        <d v="1899-12-30T13:50:00"/>
        <d v="1899-12-30T13:52:00"/>
        <d v="1899-12-30T13:54:00"/>
        <d v="1899-12-30T13:55:00"/>
        <d v="1899-12-30T13:56:00"/>
        <d v="1899-12-30T13:58:00"/>
        <d v="1899-12-30T14:01:00"/>
        <d v="1899-12-30T14:03:00"/>
        <d v="1899-12-30T14:04:00"/>
        <d v="1899-12-30T14:06:00"/>
        <d v="1899-12-30T14:07:00"/>
        <d v="1899-12-30T14:11:00"/>
        <d v="1899-12-30T14:15:00"/>
        <d v="1899-12-30T14:17:00"/>
        <d v="1899-12-30T14:18:00"/>
        <d v="1899-12-30T14:20:00"/>
        <d v="1899-12-30T14:23:00"/>
        <d v="1899-12-30T14:24:00"/>
        <d v="1899-12-30T14:26:00"/>
        <d v="1899-12-30T14:27:00"/>
        <d v="1899-12-30T14:28:00"/>
        <d v="1899-12-30T14:37:00"/>
        <d v="1899-12-30T14:38:00"/>
        <d v="1899-12-30T14:44:00"/>
        <d v="1899-12-30T14:45:00"/>
        <d v="1899-12-30T14:48:00"/>
        <d v="1899-12-30T14:53:00"/>
        <d v="1899-12-30T14:54:00"/>
        <d v="1899-12-30T14:55:00"/>
        <d v="1899-12-30T14:57:00"/>
        <d v="1899-12-30T14:59:00"/>
        <d v="1899-12-30T15:04:00"/>
        <d v="1899-12-30T15:06:00"/>
        <d v="1899-12-30T15:07:00"/>
        <d v="1899-12-30T15:11:00"/>
        <d v="1899-12-30T15:14:00"/>
        <d v="1899-12-30T15:15:00"/>
        <d v="1899-12-30T15:16:00"/>
        <d v="1899-12-30T15:17:00"/>
        <d v="1899-12-30T15:18:00"/>
        <d v="1899-12-30T15:20:00"/>
        <d v="1899-12-30T15:24:00"/>
        <d v="1899-12-30T15:26:00"/>
        <d v="1899-12-30T15:32:00"/>
        <d v="1899-12-30T15:35:00"/>
        <d v="1899-12-30T15:37:00"/>
        <d v="1899-12-30T15:38:00"/>
        <d v="1899-12-30T15:39:00"/>
        <d v="1899-12-30T15:40:00"/>
        <d v="1899-12-30T15:42:00"/>
        <d v="1899-12-30T15:47:00"/>
        <d v="1899-12-30T15:49:00"/>
        <d v="1899-12-30T15:50:00"/>
        <d v="1899-12-30T15:52:00"/>
        <d v="1899-12-30T15:54:00"/>
        <d v="1899-12-30T15:56:00"/>
        <d v="1899-12-30T15:58:00"/>
        <d v="1899-12-30T16:00:00"/>
        <d v="1899-12-30T16:03:00"/>
        <d v="1899-12-30T16:05:00"/>
        <d v="1899-12-30T16:07:00"/>
        <d v="1899-12-30T16:08:00"/>
        <d v="1899-12-30T16:10:00"/>
        <d v="1899-12-30T16:12:00"/>
        <d v="1899-12-30T16:13:00"/>
        <d v="1899-12-30T16:14:00"/>
        <d v="1899-12-30T16:16:00"/>
        <d v="1899-12-30T16:18:00"/>
        <d v="1899-12-30T16:23:00"/>
        <d v="1899-12-30T16:24:00"/>
        <d v="1899-12-30T16:26:00"/>
        <d v="1899-12-30T16:28:00"/>
        <d v="1899-12-30T16:29:00"/>
        <d v="1899-12-30T16:32:00"/>
        <d v="1899-12-30T16:35:00"/>
        <d v="1899-12-30T16:36:00"/>
        <d v="1899-12-30T16:38:00"/>
        <d v="1899-12-30T16:40:00"/>
        <d v="1899-12-30T16:41:00"/>
        <d v="1899-12-30T16:42:00"/>
        <d v="1899-12-30T16:45:00"/>
        <d v="1899-12-30T16:46:00"/>
        <d v="1899-12-30T16:49:00"/>
        <d v="1899-12-30T16:51:00"/>
        <d v="1899-12-30T16:54:00"/>
        <d v="1899-12-30T16:55:00"/>
        <d v="1899-12-30T16:56:00"/>
        <d v="1899-12-30T17:00:00"/>
        <d v="1899-12-30T17:06:00"/>
        <d v="1899-12-30T17:09:00"/>
        <d v="1899-12-30T17:10:00"/>
        <d v="1899-12-30T17:12:00"/>
        <d v="1899-12-30T17:14:00"/>
        <d v="1899-12-30T17:15:00"/>
        <d v="1899-12-30T17:18:00"/>
        <d v="1899-12-30T17:19:00"/>
        <d v="1899-12-30T17:20:00"/>
        <d v="1899-12-30T17:21:00"/>
        <d v="1899-12-30T17:23:00"/>
        <d v="1899-12-30T17:24:00"/>
        <d v="1899-12-30T17:25:00"/>
        <d v="1899-12-30T17:29:00"/>
        <d v="1899-12-30T17:31:00"/>
        <d v="1899-12-30T17:33:00"/>
        <d v="1899-12-30T17:34:00"/>
        <d v="1899-12-30T17:36:00"/>
        <d v="1899-12-30T17:40:00"/>
        <d v="1899-12-30T17:44:00"/>
        <d v="1899-12-30T17:47:00"/>
        <d v="1899-12-30T17:48:00"/>
        <d v="1899-12-30T17:49:00"/>
        <d v="1899-12-30T17:56:00"/>
        <d v="1899-12-30T17:57:00"/>
        <d v="1899-12-30T17:58:00"/>
        <d v="1899-12-30T17:59:00"/>
        <d v="1899-12-30T18:00:00"/>
        <d v="1899-12-30T18:01:00"/>
        <d v="1899-12-30T18:02:00"/>
        <d v="1899-12-30T18:03:00"/>
        <d v="1899-12-30T18:05:00"/>
        <d v="1899-12-30T18:06:00"/>
        <d v="1899-12-30T18:09:00"/>
        <d v="1899-12-30T18:14:00"/>
        <d v="1899-12-30T18:15:00"/>
        <d v="1899-12-30T18:16:00"/>
        <d v="1899-12-30T18:18:00"/>
        <d v="1899-12-30T18:20:00"/>
        <d v="1899-12-30T18:32:00"/>
        <d v="1899-12-30T18:34:00"/>
        <d v="1899-12-30T18:37:00"/>
        <d v="1899-12-30T18:38:00"/>
        <d v="1899-12-30T18:39:00"/>
        <d v="1899-12-30T18:41:00"/>
        <d v="1899-12-30T18:42:00"/>
        <d v="1899-12-30T18:43:00"/>
        <d v="1899-12-30T18:44:00"/>
        <d v="1899-12-30T18:45:00"/>
        <d v="1899-12-30T18:47:00"/>
        <d v="1899-12-30T18:51:00"/>
        <d v="1899-12-30T18:53:00"/>
        <d v="1899-12-30T18:54:00"/>
        <d v="1899-12-30T18:55:00"/>
        <d v="1899-12-30T18:57:00"/>
        <d v="1899-12-30T19:00:00"/>
        <d v="1899-12-30T19:03:00"/>
        <d v="1899-12-30T19:04:00"/>
        <d v="1899-12-30T19:05:00"/>
        <d v="1899-12-30T19:06:00"/>
        <d v="1899-12-30T19:09:00"/>
        <d v="1899-12-30T19:11:00"/>
        <d v="1899-12-30T19:15:00"/>
        <d v="1899-12-30T19:17:00"/>
        <d v="1899-12-30T19:19:00"/>
        <d v="1899-12-30T19:21:00"/>
        <d v="1899-12-30T19:25:00"/>
        <d v="1899-12-30T19:28:00"/>
        <d v="1899-12-30T19:30:00"/>
        <d v="1899-12-30T19:31:00"/>
        <d v="1899-12-30T19:33:00"/>
        <d v="1899-12-30T19:34:00"/>
        <d v="1899-12-30T19:35:00"/>
        <d v="1899-12-30T19:37:00"/>
        <d v="1899-12-30T19:38:00"/>
        <d v="1899-12-30T19:39:00"/>
        <d v="1899-12-30T19:41:00"/>
        <d v="1899-12-30T19:42:00"/>
        <d v="1899-12-30T19:43:00"/>
        <d v="1899-12-30T19:45:00"/>
        <d v="1899-12-30T19:46:00"/>
        <d v="1899-12-30T19:47:00"/>
        <d v="1899-12-30T19:48:00"/>
        <d v="1899-12-30T19:50:00"/>
        <d v="1899-12-30T19:55:00"/>
        <d v="1899-12-30T19:56:00"/>
        <d v="1899-12-30T19:58:00"/>
        <d v="1899-12-30T20:02:00"/>
        <d v="1899-12-30T20:04:00"/>
        <d v="1899-12-30T20:05:00"/>
        <d v="1899-12-30T20:08:00"/>
        <d v="1899-12-30T20:09:00"/>
        <d v="1899-12-30T20:10:00"/>
        <d v="1899-12-30T20:13:00"/>
        <d v="1899-12-30T20:15:00"/>
        <d v="1899-12-30T20:18:00"/>
        <d v="1899-12-30T20:19:00"/>
        <d v="1899-12-30T20:20:00"/>
        <d v="1899-12-30T20:21:00"/>
        <d v="1899-12-30T20:27:00"/>
        <d v="1899-12-30T20:28:00"/>
        <d v="1899-12-30T20:32:00"/>
        <d v="1899-12-30T20:34:00"/>
        <d v="1899-12-30T20:35:00"/>
        <d v="1899-12-30T20:36:00"/>
        <d v="1899-12-30T20:38:00"/>
        <d v="1899-12-30T20:41:00"/>
        <d v="1899-12-30T20:43:00"/>
        <d v="1899-12-30T20:44:00"/>
        <d v="1899-12-30T20:46:00"/>
        <d v="1899-12-30T20:50:00"/>
        <d v="1899-12-30T20:52:00"/>
        <d v="1899-12-30T20:53:00"/>
        <d v="1899-12-30T20:55:00"/>
        <d v="1899-12-30T20:56:00"/>
        <d v="1899-12-30T20:57:00"/>
        <d v="1899-12-30T20:58:00"/>
        <d v="1899-12-30T21:03:00"/>
        <d v="1899-12-30T21:07:00"/>
        <d v="1899-12-30T21:08:00"/>
        <d v="1899-12-30T21:10:00"/>
        <d v="1899-12-30T21:15:00"/>
        <d v="1899-12-30T21:18:00"/>
        <d v="1899-12-30T21:19:00"/>
        <d v="1899-12-30T21:27:00"/>
        <d v="1899-12-30T21:29:00"/>
        <d v="1899-12-30T21:31:00"/>
        <d v="1899-12-30T21:34:00"/>
        <d v="1899-12-30T21:36:00"/>
        <d v="1899-12-30T21:39:00"/>
        <d v="1899-12-30T21:40:00"/>
        <d v="1899-12-30T21:41:00"/>
        <d v="1899-12-30T21:42:00"/>
        <d v="1899-12-30T21:43:00"/>
        <d v="1899-12-30T21:44:00"/>
        <d v="1899-12-30T21:47:00"/>
        <d v="1899-12-30T21:48:00"/>
        <d v="1899-12-30T21:50:00"/>
        <d v="1899-12-30T21:52:00"/>
        <d v="1899-12-30T21:53:00"/>
        <d v="1899-12-30T21:54:00"/>
        <d v="1899-12-30T21:55:00"/>
        <d v="1899-12-30T21:57:00"/>
        <d v="1899-12-30T21:58:00"/>
        <d v="1899-12-30T22:00:00"/>
        <d v="1899-12-30T22:01:00"/>
        <d v="1899-12-30T22:02:00"/>
        <d v="1899-12-30T22:03:00"/>
        <d v="1899-12-30T22:04:00"/>
        <d v="1899-12-30T22:05:00"/>
        <d v="1899-12-30T22:07:00"/>
        <d v="1899-12-30T22:10:00"/>
        <d v="1899-12-30T22:11:00"/>
        <d v="1899-12-30T22:12:00"/>
        <d v="1899-12-30T22:13:00"/>
        <d v="1899-12-30T22:18:00"/>
        <d v="1899-12-30T22:19:00"/>
        <d v="1899-12-30T22:21:00"/>
        <d v="1899-12-30T22:22:00"/>
        <d v="1899-12-30T22:23:00"/>
        <d v="1899-12-30T22:25:00"/>
        <d v="1899-12-30T22:26:00"/>
        <d v="1899-12-30T22:27:00"/>
        <d v="1899-12-30T22:28:00"/>
        <d v="1899-12-30T22:29:00"/>
        <d v="1899-12-30T22:30:00"/>
        <d v="1899-12-30T22:31:00"/>
        <d v="1899-12-30T22:32:00"/>
        <d v="1899-12-30T22:36:00"/>
        <d v="1899-12-30T22:40:00"/>
        <d v="1899-12-30T22:42:00"/>
        <d v="1899-12-30T22:43:00"/>
        <d v="1899-12-30T22:44:00"/>
        <d v="1899-12-30T22:46:00"/>
        <d v="1899-12-30T22:49:00"/>
        <d v="1899-12-30T22:51:00"/>
        <d v="1899-12-30T22:52:00"/>
        <d v="1899-12-30T22:54:00"/>
        <d v="1899-12-30T22:55:00"/>
        <d v="1899-12-30T22:57:00"/>
        <d v="1899-12-30T22:58:00"/>
        <d v="1899-12-30T22:59:00"/>
        <d v="1899-12-30T23:04:00"/>
        <d v="1899-12-30T23:10:00"/>
        <d v="1899-12-30T23:13:00"/>
        <d v="1899-12-30T23:14:00"/>
        <d v="1899-12-30T23:15:00"/>
        <d v="1899-12-30T23:17:00"/>
        <d v="1899-12-30T23:18:00"/>
        <d v="1899-12-30T23:20:00"/>
        <d v="1899-12-30T23:24:00"/>
        <d v="1899-12-30T23:25:00"/>
        <d v="1899-12-30T23:26:00"/>
        <d v="1899-12-30T23:28:00"/>
        <d v="1899-12-30T23:33:00"/>
        <d v="1899-12-30T23:41:00"/>
        <d v="1899-12-30T23:50:00"/>
        <d v="1899-12-30T23:51:00"/>
        <d v="1899-12-30T23:53:00"/>
        <d v="1899-12-30T23:58:00"/>
        <d v="1899-12-30T09:03:00"/>
        <d v="1899-12-30T09:05:00"/>
        <d v="1899-12-30T09:07:00"/>
        <d v="1899-12-30T09:10:00"/>
        <d v="1899-12-30T09:17:00"/>
        <d v="1899-12-30T09:18:00"/>
        <d v="1899-12-30T09:21:00"/>
        <d v="1899-12-30T09:22:00"/>
        <d v="1899-12-30T09:23:00"/>
        <d v="1899-12-30T09:25:00"/>
        <d v="1899-12-30T09:29:00"/>
        <d v="1899-12-30T09:33:00"/>
        <d v="1899-12-30T09:34:00"/>
        <d v="1899-12-30T09:35:00"/>
        <d v="1899-12-30T09:37:00"/>
        <d v="1899-12-30T09:39:00"/>
        <d v="1899-12-30T09:40:00"/>
        <d v="1899-12-30T09:42:00"/>
        <d v="1899-12-30T09:43:00"/>
        <d v="1899-12-30T09:45:00"/>
        <d v="1899-12-30T09:46:00"/>
        <d v="1899-12-30T09:48:00"/>
        <d v="1899-12-30T09:50:00"/>
        <d v="1899-12-30T09:51:00"/>
        <d v="1899-12-30T09:53:00"/>
        <d v="1899-12-30T09:54:00"/>
        <d v="1899-12-30T09:55:00"/>
        <d v="1899-12-30T09:58:00"/>
        <d v="1899-12-30T09:59:00"/>
      </sharedItems>
      <extLst>
        <ext xmlns:x15="http://schemas.microsoft.com/office/spreadsheetml/2010/11/main" uri="{4F2E5C28-24EA-4eb8-9CBF-B6C8F9C3D259}">
          <x15:cachedUniqueNames>
            <x15:cachedUniqueName index="0" name="[Restaurant_Data].[Order_Time].&amp;[1899-12-30T10:01:00]"/>
            <x15:cachedUniqueName index="1" name="[Restaurant_Data].[Order_Time].&amp;[1899-12-30T10:05:00]"/>
            <x15:cachedUniqueName index="2" name="[Restaurant_Data].[Order_Time].&amp;[1899-12-30T10:09:00]"/>
            <x15:cachedUniqueName index="3" name="[Restaurant_Data].[Order_Time].&amp;[1899-12-30T10:10:00]"/>
            <x15:cachedUniqueName index="4" name="[Restaurant_Data].[Order_Time].&amp;[1899-12-30T10:14:00]"/>
            <x15:cachedUniqueName index="5" name="[Restaurant_Data].[Order_Time].&amp;[1899-12-30T10:15:00]"/>
            <x15:cachedUniqueName index="6" name="[Restaurant_Data].[Order_Time].&amp;[1899-12-30T10:17:00]"/>
            <x15:cachedUniqueName index="7" name="[Restaurant_Data].[Order_Time].&amp;[1899-12-30T10:19:00]"/>
            <x15:cachedUniqueName index="8" name="[Restaurant_Data].[Order_Time].&amp;[1899-12-30T10:20:00]"/>
            <x15:cachedUniqueName index="9" name="[Restaurant_Data].[Order_Time].&amp;[1899-12-30T10:22:00]"/>
            <x15:cachedUniqueName index="10" name="[Restaurant_Data].[Order_Time].&amp;[1899-12-30T10:23:00]"/>
            <x15:cachedUniqueName index="11" name="[Restaurant_Data].[Order_Time].&amp;[1899-12-30T10:25:00]"/>
            <x15:cachedUniqueName index="12" name="[Restaurant_Data].[Order_Time].&amp;[1899-12-30T10:26:00]"/>
            <x15:cachedUniqueName index="13" name="[Restaurant_Data].[Order_Time].&amp;[1899-12-30T10:27:00]"/>
            <x15:cachedUniqueName index="14" name="[Restaurant_Data].[Order_Time].&amp;[1899-12-30T10:29:00]"/>
            <x15:cachedUniqueName index="15" name="[Restaurant_Data].[Order_Time].&amp;[1899-12-30T10:32:00]"/>
            <x15:cachedUniqueName index="16" name="[Restaurant_Data].[Order_Time].&amp;[1899-12-30T10:33:00]"/>
            <x15:cachedUniqueName index="17" name="[Restaurant_Data].[Order_Time].&amp;[1899-12-30T10:34:00]"/>
            <x15:cachedUniqueName index="18" name="[Restaurant_Data].[Order_Time].&amp;[1899-12-30T10:36:00]"/>
            <x15:cachedUniqueName index="19" name="[Restaurant_Data].[Order_Time].&amp;[1899-12-30T10:38:00]"/>
            <x15:cachedUniqueName index="20" name="[Restaurant_Data].[Order_Time].&amp;[1899-12-30T10:40:00]"/>
            <x15:cachedUniqueName index="21" name="[Restaurant_Data].[Order_Time].&amp;[1899-12-30T10:42:00]"/>
            <x15:cachedUniqueName index="22" name="[Restaurant_Data].[Order_Time].&amp;[1899-12-30T10:48:00]"/>
            <x15:cachedUniqueName index="23" name="[Restaurant_Data].[Order_Time].&amp;[1899-12-30T10:49:00]"/>
            <x15:cachedUniqueName index="24" name="[Restaurant_Data].[Order_Time].&amp;[1899-12-30T10:50:00]"/>
            <x15:cachedUniqueName index="25" name="[Restaurant_Data].[Order_Time].&amp;[1899-12-30T10:51:00]"/>
            <x15:cachedUniqueName index="26" name="[Restaurant_Data].[Order_Time].&amp;[1899-12-30T10:52:00]"/>
            <x15:cachedUniqueName index="27" name="[Restaurant_Data].[Order_Time].&amp;[1899-12-30T10:53:00]"/>
            <x15:cachedUniqueName index="28" name="[Restaurant_Data].[Order_Time].&amp;[1899-12-30T10:56:00]"/>
            <x15:cachedUniqueName index="29" name="[Restaurant_Data].[Order_Time].&amp;[1899-12-30T10:57:00]"/>
            <x15:cachedUniqueName index="30" name="[Restaurant_Data].[Order_Time].&amp;[1899-12-30T11:01:00]"/>
            <x15:cachedUniqueName index="31" name="[Restaurant_Data].[Order_Time].&amp;[1899-12-30T11:02:00]"/>
            <x15:cachedUniqueName index="32" name="[Restaurant_Data].[Order_Time].&amp;[1899-12-30T11:03:00]"/>
            <x15:cachedUniqueName index="33" name="[Restaurant_Data].[Order_Time].&amp;[1899-12-30T11:04:00]"/>
            <x15:cachedUniqueName index="34" name="[Restaurant_Data].[Order_Time].&amp;[1899-12-30T11:05:00]"/>
            <x15:cachedUniqueName index="35" name="[Restaurant_Data].[Order_Time].&amp;[1899-12-30T11:06:00]"/>
            <x15:cachedUniqueName index="36" name="[Restaurant_Data].[Order_Time].&amp;[1899-12-30T11:07:00]"/>
            <x15:cachedUniqueName index="37" name="[Restaurant_Data].[Order_Time].&amp;[1899-12-30T11:09:00]"/>
            <x15:cachedUniqueName index="38" name="[Restaurant_Data].[Order_Time].&amp;[1899-12-30T11:10:00]"/>
            <x15:cachedUniqueName index="39" name="[Restaurant_Data].[Order_Time].&amp;[1899-12-30T11:13:00]"/>
            <x15:cachedUniqueName index="40" name="[Restaurant_Data].[Order_Time].&amp;[1899-12-30T11:17:00]"/>
            <x15:cachedUniqueName index="41" name="[Restaurant_Data].[Order_Time].&amp;[1899-12-30T11:19:00]"/>
            <x15:cachedUniqueName index="42" name="[Restaurant_Data].[Order_Time].&amp;[1899-12-30T11:20:00]"/>
            <x15:cachedUniqueName index="43" name="[Restaurant_Data].[Order_Time].&amp;[1899-12-30T11:23:00]"/>
            <x15:cachedUniqueName index="44" name="[Restaurant_Data].[Order_Time].&amp;[1899-12-30T11:24:00]"/>
            <x15:cachedUniqueName index="45" name="[Restaurant_Data].[Order_Time].&amp;[1899-12-30T11:25:00]"/>
            <x15:cachedUniqueName index="46" name="[Restaurant_Data].[Order_Time].&amp;[1899-12-30T11:26:00]"/>
            <x15:cachedUniqueName index="47" name="[Restaurant_Data].[Order_Time].&amp;[1899-12-30T11:27:00]"/>
            <x15:cachedUniqueName index="48" name="[Restaurant_Data].[Order_Time].&amp;[1899-12-30T11:29:00]"/>
            <x15:cachedUniqueName index="49" name="[Restaurant_Data].[Order_Time].&amp;[1899-12-30T11:30:00]"/>
            <x15:cachedUniqueName index="50" name="[Restaurant_Data].[Order_Time].&amp;[1899-12-30T11:33:00]"/>
            <x15:cachedUniqueName index="51" name="[Restaurant_Data].[Order_Time].&amp;[1899-12-30T11:37:00]"/>
            <x15:cachedUniqueName index="52" name="[Restaurant_Data].[Order_Time].&amp;[1899-12-30T11:38:00]"/>
            <x15:cachedUniqueName index="53" name="[Restaurant_Data].[Order_Time].&amp;[1899-12-30T11:40:00]"/>
            <x15:cachedUniqueName index="54" name="[Restaurant_Data].[Order_Time].&amp;[1899-12-30T11:42:00]"/>
            <x15:cachedUniqueName index="55" name="[Restaurant_Data].[Order_Time].&amp;[1899-12-30T11:43:00]"/>
            <x15:cachedUniqueName index="56" name="[Restaurant_Data].[Order_Time].&amp;[1899-12-30T11:45:00]"/>
            <x15:cachedUniqueName index="57" name="[Restaurant_Data].[Order_Time].&amp;[1899-12-30T11:46:00]"/>
            <x15:cachedUniqueName index="58" name="[Restaurant_Data].[Order_Time].&amp;[1899-12-30T11:49:00]"/>
            <x15:cachedUniqueName index="59" name="[Restaurant_Data].[Order_Time].&amp;[1899-12-30T11:50:00]"/>
            <x15:cachedUniqueName index="60" name="[Restaurant_Data].[Order_Time].&amp;[1899-12-30T11:53:00]"/>
            <x15:cachedUniqueName index="61" name="[Restaurant_Data].[Order_Time].&amp;[1899-12-30T11:56:00]"/>
            <x15:cachedUniqueName index="62" name="[Restaurant_Data].[Order_Time].&amp;[1899-12-30T11:58:00]"/>
            <x15:cachedUniqueName index="63" name="[Restaurant_Data].[Order_Time].&amp;[1899-12-30T12:00:00]"/>
            <x15:cachedUniqueName index="64" name="[Restaurant_Data].[Order_Time].&amp;[1899-12-30T12:02:00]"/>
            <x15:cachedUniqueName index="65" name="[Restaurant_Data].[Order_Time].&amp;[1899-12-30T12:03:00]"/>
            <x15:cachedUniqueName index="66" name="[Restaurant_Data].[Order_Time].&amp;[1899-12-30T12:04:00]"/>
            <x15:cachedUniqueName index="67" name="[Restaurant_Data].[Order_Time].&amp;[1899-12-30T12:07:00]"/>
            <x15:cachedUniqueName index="68" name="[Restaurant_Data].[Order_Time].&amp;[1899-12-30T12:17:00]"/>
            <x15:cachedUniqueName index="69" name="[Restaurant_Data].[Order_Time].&amp;[1899-12-30T12:18:00]"/>
            <x15:cachedUniqueName index="70" name="[Restaurant_Data].[Order_Time].&amp;[1899-12-30T12:22:00]"/>
            <x15:cachedUniqueName index="71" name="[Restaurant_Data].[Order_Time].&amp;[1899-12-30T12:24:00]"/>
            <x15:cachedUniqueName index="72" name="[Restaurant_Data].[Order_Time].&amp;[1899-12-30T12:26:00]"/>
            <x15:cachedUniqueName index="73" name="[Restaurant_Data].[Order_Time].&amp;[1899-12-30T12:27:00]"/>
            <x15:cachedUniqueName index="74" name="[Restaurant_Data].[Order_Time].&amp;[1899-12-30T12:28:00]"/>
            <x15:cachedUniqueName index="75" name="[Restaurant_Data].[Order_Time].&amp;[1899-12-30T12:30:00]"/>
            <x15:cachedUniqueName index="76" name="[Restaurant_Data].[Order_Time].&amp;[1899-12-30T12:31:00]"/>
            <x15:cachedUniqueName index="77" name="[Restaurant_Data].[Order_Time].&amp;[1899-12-30T12:32:00]"/>
            <x15:cachedUniqueName index="78" name="[Restaurant_Data].[Order_Time].&amp;[1899-12-30T12:33:00]"/>
            <x15:cachedUniqueName index="79" name="[Restaurant_Data].[Order_Time].&amp;[1899-12-30T12:34:00]"/>
            <x15:cachedUniqueName index="80" name="[Restaurant_Data].[Order_Time].&amp;[1899-12-30T12:36:00]"/>
            <x15:cachedUniqueName index="81" name="[Restaurant_Data].[Order_Time].&amp;[1899-12-30T12:37:00]"/>
            <x15:cachedUniqueName index="82" name="[Restaurant_Data].[Order_Time].&amp;[1899-12-30T12:38:00]"/>
            <x15:cachedUniqueName index="83" name="[Restaurant_Data].[Order_Time].&amp;[1899-12-30T12:39:00]"/>
            <x15:cachedUniqueName index="84" name="[Restaurant_Data].[Order_Time].&amp;[1899-12-30T12:42:00]"/>
            <x15:cachedUniqueName index="85" name="[Restaurant_Data].[Order_Time].&amp;[1899-12-30T12:44:00]"/>
            <x15:cachedUniqueName index="86" name="[Restaurant_Data].[Order_Time].&amp;[1899-12-30T12:45:00]"/>
            <x15:cachedUniqueName index="87" name="[Restaurant_Data].[Order_Time].&amp;[1899-12-30T12:46:00]"/>
            <x15:cachedUniqueName index="88" name="[Restaurant_Data].[Order_Time].&amp;[1899-12-30T12:47:00]"/>
            <x15:cachedUniqueName index="89" name="[Restaurant_Data].[Order_Time].&amp;[1899-12-30T12:48:00]"/>
            <x15:cachedUniqueName index="90" name="[Restaurant_Data].[Order_Time].&amp;[1899-12-30T12:49:00]"/>
            <x15:cachedUniqueName index="91" name="[Restaurant_Data].[Order_Time].&amp;[1899-12-30T12:51:00]"/>
            <x15:cachedUniqueName index="92" name="[Restaurant_Data].[Order_Time].&amp;[1899-12-30T12:52:00]"/>
            <x15:cachedUniqueName index="93" name="[Restaurant_Data].[Order_Time].&amp;[1899-12-30T12:53:00]"/>
            <x15:cachedUniqueName index="94" name="[Restaurant_Data].[Order_Time].&amp;[1899-12-30T12:57:00]"/>
            <x15:cachedUniqueName index="95" name="[Restaurant_Data].[Order_Time].&amp;[1899-12-30T12:58:00]"/>
            <x15:cachedUniqueName index="96" name="[Restaurant_Data].[Order_Time].&amp;[1899-12-30T13:00:00]"/>
            <x15:cachedUniqueName index="97" name="[Restaurant_Data].[Order_Time].&amp;[1899-12-30T13:01:00]"/>
            <x15:cachedUniqueName index="98" name="[Restaurant_Data].[Order_Time].&amp;[1899-12-30T13:02:00]"/>
            <x15:cachedUniqueName index="99" name="[Restaurant_Data].[Order_Time].&amp;[1899-12-30T13:03:00]"/>
            <x15:cachedUniqueName index="100" name="[Restaurant_Data].[Order_Time].&amp;[1899-12-30T13:07:00]"/>
            <x15:cachedUniqueName index="101" name="[Restaurant_Data].[Order_Time].&amp;[1899-12-30T13:09:00]"/>
            <x15:cachedUniqueName index="102" name="[Restaurant_Data].[Order_Time].&amp;[1899-12-30T13:10:00]"/>
            <x15:cachedUniqueName index="103" name="[Restaurant_Data].[Order_Time].&amp;[1899-12-30T13:14:00]"/>
            <x15:cachedUniqueName index="104" name="[Restaurant_Data].[Order_Time].&amp;[1899-12-30T13:16:00]"/>
            <x15:cachedUniqueName index="105" name="[Restaurant_Data].[Order_Time].&amp;[1899-12-30T13:21:00]"/>
            <x15:cachedUniqueName index="106" name="[Restaurant_Data].[Order_Time].&amp;[1899-12-30T13:22:00]"/>
            <x15:cachedUniqueName index="107" name="[Restaurant_Data].[Order_Time].&amp;[1899-12-30T13:24:00]"/>
            <x15:cachedUniqueName index="108" name="[Restaurant_Data].[Order_Time].&amp;[1899-12-30T13:25:00]"/>
            <x15:cachedUniqueName index="109" name="[Restaurant_Data].[Order_Time].&amp;[1899-12-30T13:26:00]"/>
            <x15:cachedUniqueName index="110" name="[Restaurant_Data].[Order_Time].&amp;[1899-12-30T13:27:00]"/>
            <x15:cachedUniqueName index="111" name="[Restaurant_Data].[Order_Time].&amp;[1899-12-30T13:28:00]"/>
            <x15:cachedUniqueName index="112" name="[Restaurant_Data].[Order_Time].&amp;[1899-12-30T13:29:00]"/>
            <x15:cachedUniqueName index="113" name="[Restaurant_Data].[Order_Time].&amp;[1899-12-30T13:30:00]"/>
            <x15:cachedUniqueName index="114" name="[Restaurant_Data].[Order_Time].&amp;[1899-12-30T13:31:00]"/>
            <x15:cachedUniqueName index="115" name="[Restaurant_Data].[Order_Time].&amp;[1899-12-30T13:39:00]"/>
            <x15:cachedUniqueName index="116" name="[Restaurant_Data].[Order_Time].&amp;[1899-12-30T13:40:00]"/>
            <x15:cachedUniqueName index="117" name="[Restaurant_Data].[Order_Time].&amp;[1899-12-30T13:41:00]"/>
            <x15:cachedUniqueName index="118" name="[Restaurant_Data].[Order_Time].&amp;[1899-12-30T13:42:00]"/>
            <x15:cachedUniqueName index="119" name="[Restaurant_Data].[Order_Time].&amp;[1899-12-30T13:44:00]"/>
            <x15:cachedUniqueName index="120" name="[Restaurant_Data].[Order_Time].&amp;[1899-12-30T13:45:00]"/>
            <x15:cachedUniqueName index="121" name="[Restaurant_Data].[Order_Time].&amp;[1899-12-30T13:46:00]"/>
            <x15:cachedUniqueName index="122" name="[Restaurant_Data].[Order_Time].&amp;[1899-12-30T13:47:00]"/>
            <x15:cachedUniqueName index="123" name="[Restaurant_Data].[Order_Time].&amp;[1899-12-30T13:49:00]"/>
            <x15:cachedUniqueName index="124" name="[Restaurant_Data].[Order_Time].&amp;[1899-12-30T13:50:00]"/>
            <x15:cachedUniqueName index="125" name="[Restaurant_Data].[Order_Time].&amp;[1899-12-30T13:52:00]"/>
            <x15:cachedUniqueName index="126" name="[Restaurant_Data].[Order_Time].&amp;[1899-12-30T13:54:00]"/>
            <x15:cachedUniqueName index="127" name="[Restaurant_Data].[Order_Time].&amp;[1899-12-30T13:55:00]"/>
            <x15:cachedUniqueName index="128" name="[Restaurant_Data].[Order_Time].&amp;[1899-12-30T13:56:00]"/>
            <x15:cachedUniqueName index="129" name="[Restaurant_Data].[Order_Time].&amp;[1899-12-30T13:58:00]"/>
            <x15:cachedUniqueName index="130" name="[Restaurant_Data].[Order_Time].&amp;[1899-12-30T14:01:00]"/>
            <x15:cachedUniqueName index="131" name="[Restaurant_Data].[Order_Time].&amp;[1899-12-30T14:03:00]"/>
            <x15:cachedUniqueName index="132" name="[Restaurant_Data].[Order_Time].&amp;[1899-12-30T14:04:00]"/>
            <x15:cachedUniqueName index="133" name="[Restaurant_Data].[Order_Time].&amp;[1899-12-30T14:06:00]"/>
            <x15:cachedUniqueName index="134" name="[Restaurant_Data].[Order_Time].&amp;[1899-12-30T14:07:00]"/>
            <x15:cachedUniqueName index="135" name="[Restaurant_Data].[Order_Time].&amp;[1899-12-30T14:11:00]"/>
            <x15:cachedUniqueName index="136" name="[Restaurant_Data].[Order_Time].&amp;[1899-12-30T14:15:00]"/>
            <x15:cachedUniqueName index="137" name="[Restaurant_Data].[Order_Time].&amp;[1899-12-30T14:17:00]"/>
            <x15:cachedUniqueName index="138" name="[Restaurant_Data].[Order_Time].&amp;[1899-12-30T14:18:00]"/>
            <x15:cachedUniqueName index="139" name="[Restaurant_Data].[Order_Time].&amp;[1899-12-30T14:20:00]"/>
            <x15:cachedUniqueName index="140" name="[Restaurant_Data].[Order_Time].&amp;[1899-12-30T14:23:00]"/>
            <x15:cachedUniqueName index="141" name="[Restaurant_Data].[Order_Time].&amp;[1899-12-30T14:24:00]"/>
            <x15:cachedUniqueName index="142" name="[Restaurant_Data].[Order_Time].&amp;[1899-12-30T14:26:00]"/>
            <x15:cachedUniqueName index="143" name="[Restaurant_Data].[Order_Time].&amp;[1899-12-30T14:27:00]"/>
            <x15:cachedUniqueName index="144" name="[Restaurant_Data].[Order_Time].&amp;[1899-12-30T14:28:00]"/>
            <x15:cachedUniqueName index="145" name="[Restaurant_Data].[Order_Time].&amp;[1899-12-30T14:37:00]"/>
            <x15:cachedUniqueName index="146" name="[Restaurant_Data].[Order_Time].&amp;[1899-12-30T14:38:00]"/>
            <x15:cachedUniqueName index="147" name="[Restaurant_Data].[Order_Time].&amp;[1899-12-30T14:44:00]"/>
            <x15:cachedUniqueName index="148" name="[Restaurant_Data].[Order_Time].&amp;[1899-12-30T14:45:00]"/>
            <x15:cachedUniqueName index="149" name="[Restaurant_Data].[Order_Time].&amp;[1899-12-30T14:48:00]"/>
            <x15:cachedUniqueName index="150" name="[Restaurant_Data].[Order_Time].&amp;[1899-12-30T14:53:00]"/>
            <x15:cachedUniqueName index="151" name="[Restaurant_Data].[Order_Time].&amp;[1899-12-30T14:54:00]"/>
            <x15:cachedUniqueName index="152" name="[Restaurant_Data].[Order_Time].&amp;[1899-12-30T14:55:00]"/>
            <x15:cachedUniqueName index="153" name="[Restaurant_Data].[Order_Time].&amp;[1899-12-30T14:57:00]"/>
            <x15:cachedUniqueName index="154" name="[Restaurant_Data].[Order_Time].&amp;[1899-12-30T14:59:00]"/>
            <x15:cachedUniqueName index="155" name="[Restaurant_Data].[Order_Time].&amp;[1899-12-30T15:04:00]"/>
            <x15:cachedUniqueName index="156" name="[Restaurant_Data].[Order_Time].&amp;[1899-12-30T15:06:00]"/>
            <x15:cachedUniqueName index="157" name="[Restaurant_Data].[Order_Time].&amp;[1899-12-30T15:07:00]"/>
            <x15:cachedUniqueName index="158" name="[Restaurant_Data].[Order_Time].&amp;[1899-12-30T15:11:00]"/>
            <x15:cachedUniqueName index="159" name="[Restaurant_Data].[Order_Time].&amp;[1899-12-30T15:14:00]"/>
            <x15:cachedUniqueName index="160" name="[Restaurant_Data].[Order_Time].&amp;[1899-12-30T15:15:00]"/>
            <x15:cachedUniqueName index="161" name="[Restaurant_Data].[Order_Time].&amp;[1899-12-30T15:16:00]"/>
            <x15:cachedUniqueName index="162" name="[Restaurant_Data].[Order_Time].&amp;[1899-12-30T15:17:00]"/>
            <x15:cachedUniqueName index="163" name="[Restaurant_Data].[Order_Time].&amp;[1899-12-30T15:18:00]"/>
            <x15:cachedUniqueName index="164" name="[Restaurant_Data].[Order_Time].&amp;[1899-12-30T15:20:00]"/>
            <x15:cachedUniqueName index="165" name="[Restaurant_Data].[Order_Time].&amp;[1899-12-30T15:24:00]"/>
            <x15:cachedUniqueName index="166" name="[Restaurant_Data].[Order_Time].&amp;[1899-12-30T15:26:00]"/>
            <x15:cachedUniqueName index="167" name="[Restaurant_Data].[Order_Time].&amp;[1899-12-30T15:32:00]"/>
            <x15:cachedUniqueName index="168" name="[Restaurant_Data].[Order_Time].&amp;[1899-12-30T15:35:00]"/>
            <x15:cachedUniqueName index="169" name="[Restaurant_Data].[Order_Time].&amp;[1899-12-30T15:37:00]"/>
            <x15:cachedUniqueName index="170" name="[Restaurant_Data].[Order_Time].&amp;[1899-12-30T15:38:00]"/>
            <x15:cachedUniqueName index="171" name="[Restaurant_Data].[Order_Time].&amp;[1899-12-30T15:39:00]"/>
            <x15:cachedUniqueName index="172" name="[Restaurant_Data].[Order_Time].&amp;[1899-12-30T15:40:00]"/>
            <x15:cachedUniqueName index="173" name="[Restaurant_Data].[Order_Time].&amp;[1899-12-30T15:42:00]"/>
            <x15:cachedUniqueName index="174" name="[Restaurant_Data].[Order_Time].&amp;[1899-12-30T15:47:00]"/>
            <x15:cachedUniqueName index="175" name="[Restaurant_Data].[Order_Time].&amp;[1899-12-30T15:49:00]"/>
            <x15:cachedUniqueName index="176" name="[Restaurant_Data].[Order_Time].&amp;[1899-12-30T15:50:00]"/>
            <x15:cachedUniqueName index="177" name="[Restaurant_Data].[Order_Time].&amp;[1899-12-30T15:52:00]"/>
            <x15:cachedUniqueName index="178" name="[Restaurant_Data].[Order_Time].&amp;[1899-12-30T15:54:00]"/>
            <x15:cachedUniqueName index="179" name="[Restaurant_Data].[Order_Time].&amp;[1899-12-30T15:56:00]"/>
            <x15:cachedUniqueName index="180" name="[Restaurant_Data].[Order_Time].&amp;[1899-12-30T15:58:00]"/>
            <x15:cachedUniqueName index="181" name="[Restaurant_Data].[Order_Time].&amp;[1899-12-30T16:00:00]"/>
            <x15:cachedUniqueName index="182" name="[Restaurant_Data].[Order_Time].&amp;[1899-12-30T16:03:00]"/>
            <x15:cachedUniqueName index="183" name="[Restaurant_Data].[Order_Time].&amp;[1899-12-30T16:05:00]"/>
            <x15:cachedUniqueName index="184" name="[Restaurant_Data].[Order_Time].&amp;[1899-12-30T16:07:00]"/>
            <x15:cachedUniqueName index="185" name="[Restaurant_Data].[Order_Time].&amp;[1899-12-30T16:08:00]"/>
            <x15:cachedUniqueName index="186" name="[Restaurant_Data].[Order_Time].&amp;[1899-12-30T16:10:00]"/>
            <x15:cachedUniqueName index="187" name="[Restaurant_Data].[Order_Time].&amp;[1899-12-30T16:12:00]"/>
            <x15:cachedUniqueName index="188" name="[Restaurant_Data].[Order_Time].&amp;[1899-12-30T16:13:00]"/>
            <x15:cachedUniqueName index="189" name="[Restaurant_Data].[Order_Time].&amp;[1899-12-30T16:14:00]"/>
            <x15:cachedUniqueName index="190" name="[Restaurant_Data].[Order_Time].&amp;[1899-12-30T16:16:00]"/>
            <x15:cachedUniqueName index="191" name="[Restaurant_Data].[Order_Time].&amp;[1899-12-30T16:18:00]"/>
            <x15:cachedUniqueName index="192" name="[Restaurant_Data].[Order_Time].&amp;[1899-12-30T16:23:00]"/>
            <x15:cachedUniqueName index="193" name="[Restaurant_Data].[Order_Time].&amp;[1899-12-30T16:24:00]"/>
            <x15:cachedUniqueName index="194" name="[Restaurant_Data].[Order_Time].&amp;[1899-12-30T16:26:00]"/>
            <x15:cachedUniqueName index="195" name="[Restaurant_Data].[Order_Time].&amp;[1899-12-30T16:28:00]"/>
            <x15:cachedUniqueName index="196" name="[Restaurant_Data].[Order_Time].&amp;[1899-12-30T16:29:00]"/>
            <x15:cachedUniqueName index="197" name="[Restaurant_Data].[Order_Time].&amp;[1899-12-30T16:32:00]"/>
            <x15:cachedUniqueName index="198" name="[Restaurant_Data].[Order_Time].&amp;[1899-12-30T16:35:00]"/>
            <x15:cachedUniqueName index="199" name="[Restaurant_Data].[Order_Time].&amp;[1899-12-30T16:36:00]"/>
            <x15:cachedUniqueName index="200" name="[Restaurant_Data].[Order_Time].&amp;[1899-12-30T16:38:00]"/>
            <x15:cachedUniqueName index="201" name="[Restaurant_Data].[Order_Time].&amp;[1899-12-30T16:40:00]"/>
            <x15:cachedUniqueName index="202" name="[Restaurant_Data].[Order_Time].&amp;[1899-12-30T16:41:00]"/>
            <x15:cachedUniqueName index="203" name="[Restaurant_Data].[Order_Time].&amp;[1899-12-30T16:42:00]"/>
            <x15:cachedUniqueName index="204" name="[Restaurant_Data].[Order_Time].&amp;[1899-12-30T16:45:00]"/>
            <x15:cachedUniqueName index="205" name="[Restaurant_Data].[Order_Time].&amp;[1899-12-30T16:46:00]"/>
            <x15:cachedUniqueName index="206" name="[Restaurant_Data].[Order_Time].&amp;[1899-12-30T16:49:00]"/>
            <x15:cachedUniqueName index="207" name="[Restaurant_Data].[Order_Time].&amp;[1899-12-30T16:51:00]"/>
            <x15:cachedUniqueName index="208" name="[Restaurant_Data].[Order_Time].&amp;[1899-12-30T16:54:00]"/>
            <x15:cachedUniqueName index="209" name="[Restaurant_Data].[Order_Time].&amp;[1899-12-30T16:55:00]"/>
            <x15:cachedUniqueName index="210" name="[Restaurant_Data].[Order_Time].&amp;[1899-12-30T16:56:00]"/>
            <x15:cachedUniqueName index="211" name="[Restaurant_Data].[Order_Time].&amp;[1899-12-30T17:00:00]"/>
            <x15:cachedUniqueName index="212" name="[Restaurant_Data].[Order_Time].&amp;[1899-12-30T17:06:00]"/>
            <x15:cachedUniqueName index="213" name="[Restaurant_Data].[Order_Time].&amp;[1899-12-30T17:09:00]"/>
            <x15:cachedUniqueName index="214" name="[Restaurant_Data].[Order_Time].&amp;[1899-12-30T17:10:00]"/>
            <x15:cachedUniqueName index="215" name="[Restaurant_Data].[Order_Time].&amp;[1899-12-30T17:12:00]"/>
            <x15:cachedUniqueName index="216" name="[Restaurant_Data].[Order_Time].&amp;[1899-12-30T17:14:00]"/>
            <x15:cachedUniqueName index="217" name="[Restaurant_Data].[Order_Time].&amp;[1899-12-30T17:15:00]"/>
            <x15:cachedUniqueName index="218" name="[Restaurant_Data].[Order_Time].&amp;[1899-12-30T17:18:00]"/>
            <x15:cachedUniqueName index="219" name="[Restaurant_Data].[Order_Time].&amp;[1899-12-30T17:19:00]"/>
            <x15:cachedUniqueName index="220" name="[Restaurant_Data].[Order_Time].&amp;[1899-12-30T17:20:00]"/>
            <x15:cachedUniqueName index="221" name="[Restaurant_Data].[Order_Time].&amp;[1899-12-30T17:21:00]"/>
            <x15:cachedUniqueName index="222" name="[Restaurant_Data].[Order_Time].&amp;[1899-12-30T17:23:00]"/>
            <x15:cachedUniqueName index="223" name="[Restaurant_Data].[Order_Time].&amp;[1899-12-30T17:24:00]"/>
            <x15:cachedUniqueName index="224" name="[Restaurant_Data].[Order_Time].&amp;[1899-12-30T17:25:00]"/>
            <x15:cachedUniqueName index="225" name="[Restaurant_Data].[Order_Time].&amp;[1899-12-30T17:29:00]"/>
            <x15:cachedUniqueName index="226" name="[Restaurant_Data].[Order_Time].&amp;[1899-12-30T17:31:00]"/>
            <x15:cachedUniqueName index="227" name="[Restaurant_Data].[Order_Time].&amp;[1899-12-30T17:33:00]"/>
            <x15:cachedUniqueName index="228" name="[Restaurant_Data].[Order_Time].&amp;[1899-12-30T17:34:00]"/>
            <x15:cachedUniqueName index="229" name="[Restaurant_Data].[Order_Time].&amp;[1899-12-30T17:36:00]"/>
            <x15:cachedUniqueName index="230" name="[Restaurant_Data].[Order_Time].&amp;[1899-12-30T17:40:00]"/>
            <x15:cachedUniqueName index="231" name="[Restaurant_Data].[Order_Time].&amp;[1899-12-30T17:44:00]"/>
            <x15:cachedUniqueName index="232" name="[Restaurant_Data].[Order_Time].&amp;[1899-12-30T17:47:00]"/>
            <x15:cachedUniqueName index="233" name="[Restaurant_Data].[Order_Time].&amp;[1899-12-30T17:48:00]"/>
            <x15:cachedUniqueName index="234" name="[Restaurant_Data].[Order_Time].&amp;[1899-12-30T17:49:00]"/>
            <x15:cachedUniqueName index="235" name="[Restaurant_Data].[Order_Time].&amp;[1899-12-30T17:56:00]"/>
            <x15:cachedUniqueName index="236" name="[Restaurant_Data].[Order_Time].&amp;[1899-12-30T17:57:00]"/>
            <x15:cachedUniqueName index="237" name="[Restaurant_Data].[Order_Time].&amp;[1899-12-30T17:58:00]"/>
            <x15:cachedUniqueName index="238" name="[Restaurant_Data].[Order_Time].&amp;[1899-12-30T17:59:00]"/>
            <x15:cachedUniqueName index="239" name="[Restaurant_Data].[Order_Time].&amp;[1899-12-30T18:00:00]"/>
            <x15:cachedUniqueName index="240" name="[Restaurant_Data].[Order_Time].&amp;[1899-12-30T18:01:00]"/>
            <x15:cachedUniqueName index="241" name="[Restaurant_Data].[Order_Time].&amp;[1899-12-30T18:02:00]"/>
            <x15:cachedUniqueName index="242" name="[Restaurant_Data].[Order_Time].&amp;[1899-12-30T18:03:00]"/>
            <x15:cachedUniqueName index="243" name="[Restaurant_Data].[Order_Time].&amp;[1899-12-30T18:05:00]"/>
            <x15:cachedUniqueName index="244" name="[Restaurant_Data].[Order_Time].&amp;[1899-12-30T18:06:00]"/>
            <x15:cachedUniqueName index="245" name="[Restaurant_Data].[Order_Time].&amp;[1899-12-30T18:09:00]"/>
            <x15:cachedUniqueName index="246" name="[Restaurant_Data].[Order_Time].&amp;[1899-12-30T18:14:00]"/>
            <x15:cachedUniqueName index="247" name="[Restaurant_Data].[Order_Time].&amp;[1899-12-30T18:15:00]"/>
            <x15:cachedUniqueName index="248" name="[Restaurant_Data].[Order_Time].&amp;[1899-12-30T18:16:00]"/>
            <x15:cachedUniqueName index="249" name="[Restaurant_Data].[Order_Time].&amp;[1899-12-30T18:18:00]"/>
            <x15:cachedUniqueName index="250" name="[Restaurant_Data].[Order_Time].&amp;[1899-12-30T18:20:00]"/>
            <x15:cachedUniqueName index="251" name="[Restaurant_Data].[Order_Time].&amp;[1899-12-30T18:32:00]"/>
            <x15:cachedUniqueName index="252" name="[Restaurant_Data].[Order_Time].&amp;[1899-12-30T18:34:00]"/>
            <x15:cachedUniqueName index="253" name="[Restaurant_Data].[Order_Time].&amp;[1899-12-30T18:37:00]"/>
            <x15:cachedUniqueName index="254" name="[Restaurant_Data].[Order_Time].&amp;[1899-12-30T18:38:00]"/>
            <x15:cachedUniqueName index="255" name="[Restaurant_Data].[Order_Time].&amp;[1899-12-30T18:39:00]"/>
            <x15:cachedUniqueName index="256" name="[Restaurant_Data].[Order_Time].&amp;[1899-12-30T18:41:00]"/>
            <x15:cachedUniqueName index="257" name="[Restaurant_Data].[Order_Time].&amp;[1899-12-30T18:42:00]"/>
            <x15:cachedUniqueName index="258" name="[Restaurant_Data].[Order_Time].&amp;[1899-12-30T18:43:00]"/>
            <x15:cachedUniqueName index="259" name="[Restaurant_Data].[Order_Time].&amp;[1899-12-30T18:44:00]"/>
            <x15:cachedUniqueName index="260" name="[Restaurant_Data].[Order_Time].&amp;[1899-12-30T18:45:00]"/>
            <x15:cachedUniqueName index="261" name="[Restaurant_Data].[Order_Time].&amp;[1899-12-30T18:47:00]"/>
            <x15:cachedUniqueName index="262" name="[Restaurant_Data].[Order_Time].&amp;[1899-12-30T18:51:00]"/>
            <x15:cachedUniqueName index="263" name="[Restaurant_Data].[Order_Time].&amp;[1899-12-30T18:53:00]"/>
            <x15:cachedUniqueName index="264" name="[Restaurant_Data].[Order_Time].&amp;[1899-12-30T18:54:00]"/>
            <x15:cachedUniqueName index="265" name="[Restaurant_Data].[Order_Time].&amp;[1899-12-30T18:55:00]"/>
            <x15:cachedUniqueName index="266" name="[Restaurant_Data].[Order_Time].&amp;[1899-12-30T18:57:00]"/>
            <x15:cachedUniqueName index="267" name="[Restaurant_Data].[Order_Time].&amp;[1899-12-30T19:00:00]"/>
            <x15:cachedUniqueName index="268" name="[Restaurant_Data].[Order_Time].&amp;[1899-12-30T19:03:00]"/>
            <x15:cachedUniqueName index="269" name="[Restaurant_Data].[Order_Time].&amp;[1899-12-30T19:04:00]"/>
            <x15:cachedUniqueName index="270" name="[Restaurant_Data].[Order_Time].&amp;[1899-12-30T19:05:00]"/>
            <x15:cachedUniqueName index="271" name="[Restaurant_Data].[Order_Time].&amp;[1899-12-30T19:06:00]"/>
            <x15:cachedUniqueName index="272" name="[Restaurant_Data].[Order_Time].&amp;[1899-12-30T19:09:00]"/>
            <x15:cachedUniqueName index="273" name="[Restaurant_Data].[Order_Time].&amp;[1899-12-30T19:11:00]"/>
            <x15:cachedUniqueName index="274" name="[Restaurant_Data].[Order_Time].&amp;[1899-12-30T19:15:00]"/>
            <x15:cachedUniqueName index="275" name="[Restaurant_Data].[Order_Time].&amp;[1899-12-30T19:17:00]"/>
            <x15:cachedUniqueName index="276" name="[Restaurant_Data].[Order_Time].&amp;[1899-12-30T19:19:00]"/>
            <x15:cachedUniqueName index="277" name="[Restaurant_Data].[Order_Time].&amp;[1899-12-30T19:21:00]"/>
            <x15:cachedUniqueName index="278" name="[Restaurant_Data].[Order_Time].&amp;[1899-12-30T19:25:00]"/>
            <x15:cachedUniqueName index="279" name="[Restaurant_Data].[Order_Time].&amp;[1899-12-30T19:28:00]"/>
            <x15:cachedUniqueName index="280" name="[Restaurant_Data].[Order_Time].&amp;[1899-12-30T19:30:00]"/>
            <x15:cachedUniqueName index="281" name="[Restaurant_Data].[Order_Time].&amp;[1899-12-30T19:31:00]"/>
            <x15:cachedUniqueName index="282" name="[Restaurant_Data].[Order_Time].&amp;[1899-12-30T19:33:00]"/>
            <x15:cachedUniqueName index="283" name="[Restaurant_Data].[Order_Time].&amp;[1899-12-30T19:34:00]"/>
            <x15:cachedUniqueName index="284" name="[Restaurant_Data].[Order_Time].&amp;[1899-12-30T19:35:00]"/>
            <x15:cachedUniqueName index="285" name="[Restaurant_Data].[Order_Time].&amp;[1899-12-30T19:37:00]"/>
            <x15:cachedUniqueName index="286" name="[Restaurant_Data].[Order_Time].&amp;[1899-12-30T19:38:00]"/>
            <x15:cachedUniqueName index="287" name="[Restaurant_Data].[Order_Time].&amp;[1899-12-30T19:39:00]"/>
            <x15:cachedUniqueName index="288" name="[Restaurant_Data].[Order_Time].&amp;[1899-12-30T19:41:00]"/>
            <x15:cachedUniqueName index="289" name="[Restaurant_Data].[Order_Time].&amp;[1899-12-30T19:42:00]"/>
            <x15:cachedUniqueName index="290" name="[Restaurant_Data].[Order_Time].&amp;[1899-12-30T19:43:00]"/>
            <x15:cachedUniqueName index="291" name="[Restaurant_Data].[Order_Time].&amp;[1899-12-30T19:45:00]"/>
            <x15:cachedUniqueName index="292" name="[Restaurant_Data].[Order_Time].&amp;[1899-12-30T19:46:00]"/>
            <x15:cachedUniqueName index="293" name="[Restaurant_Data].[Order_Time].&amp;[1899-12-30T19:47:00]"/>
            <x15:cachedUniqueName index="294" name="[Restaurant_Data].[Order_Time].&amp;[1899-12-30T19:48:00]"/>
            <x15:cachedUniqueName index="295" name="[Restaurant_Data].[Order_Time].&amp;[1899-12-30T19:50:00]"/>
            <x15:cachedUniqueName index="296" name="[Restaurant_Data].[Order_Time].&amp;[1899-12-30T19:55:00]"/>
            <x15:cachedUniqueName index="297" name="[Restaurant_Data].[Order_Time].&amp;[1899-12-30T19:56:00]"/>
            <x15:cachedUniqueName index="298" name="[Restaurant_Data].[Order_Time].&amp;[1899-12-30T19:58:00]"/>
            <x15:cachedUniqueName index="299" name="[Restaurant_Data].[Order_Time].&amp;[1899-12-30T20:02:00]"/>
            <x15:cachedUniqueName index="300" name="[Restaurant_Data].[Order_Time].&amp;[1899-12-30T20:04:00]"/>
            <x15:cachedUniqueName index="301" name="[Restaurant_Data].[Order_Time].&amp;[1899-12-30T20:05:00]"/>
            <x15:cachedUniqueName index="302" name="[Restaurant_Data].[Order_Time].&amp;[1899-12-30T20:08:00]"/>
            <x15:cachedUniqueName index="303" name="[Restaurant_Data].[Order_Time].&amp;[1899-12-30T20:09:00]"/>
            <x15:cachedUniqueName index="304" name="[Restaurant_Data].[Order_Time].&amp;[1899-12-30T20:10:00]"/>
            <x15:cachedUniqueName index="305" name="[Restaurant_Data].[Order_Time].&amp;[1899-12-30T20:13:00]"/>
            <x15:cachedUniqueName index="306" name="[Restaurant_Data].[Order_Time].&amp;[1899-12-30T20:15:00]"/>
            <x15:cachedUniqueName index="307" name="[Restaurant_Data].[Order_Time].&amp;[1899-12-30T20:18:00]"/>
            <x15:cachedUniqueName index="308" name="[Restaurant_Data].[Order_Time].&amp;[1899-12-30T20:19:00]"/>
            <x15:cachedUniqueName index="309" name="[Restaurant_Data].[Order_Time].&amp;[1899-12-30T20:20:00]"/>
            <x15:cachedUniqueName index="310" name="[Restaurant_Data].[Order_Time].&amp;[1899-12-30T20:21:00]"/>
            <x15:cachedUniqueName index="311" name="[Restaurant_Data].[Order_Time].&amp;[1899-12-30T20:27:00]"/>
            <x15:cachedUniqueName index="312" name="[Restaurant_Data].[Order_Time].&amp;[1899-12-30T20:28:00]"/>
            <x15:cachedUniqueName index="313" name="[Restaurant_Data].[Order_Time].&amp;[1899-12-30T20:32:00]"/>
            <x15:cachedUniqueName index="314" name="[Restaurant_Data].[Order_Time].&amp;[1899-12-30T20:34:00]"/>
            <x15:cachedUniqueName index="315" name="[Restaurant_Data].[Order_Time].&amp;[1899-12-30T20:35:00]"/>
            <x15:cachedUniqueName index="316" name="[Restaurant_Data].[Order_Time].&amp;[1899-12-30T20:36:00]"/>
            <x15:cachedUniqueName index="317" name="[Restaurant_Data].[Order_Time].&amp;[1899-12-30T20:38:00]"/>
            <x15:cachedUniqueName index="318" name="[Restaurant_Data].[Order_Time].&amp;[1899-12-30T20:41:00]"/>
            <x15:cachedUniqueName index="319" name="[Restaurant_Data].[Order_Time].&amp;[1899-12-30T20:43:00]"/>
            <x15:cachedUniqueName index="320" name="[Restaurant_Data].[Order_Time].&amp;[1899-12-30T20:44:00]"/>
            <x15:cachedUniqueName index="321" name="[Restaurant_Data].[Order_Time].&amp;[1899-12-30T20:46:00]"/>
            <x15:cachedUniqueName index="322" name="[Restaurant_Data].[Order_Time].&amp;[1899-12-30T20:50:00]"/>
            <x15:cachedUniqueName index="323" name="[Restaurant_Data].[Order_Time].&amp;[1899-12-30T20:52:00]"/>
            <x15:cachedUniqueName index="324" name="[Restaurant_Data].[Order_Time].&amp;[1899-12-30T20:53:00]"/>
            <x15:cachedUniqueName index="325" name="[Restaurant_Data].[Order_Time].&amp;[1899-12-30T20:55:00]"/>
            <x15:cachedUniqueName index="326" name="[Restaurant_Data].[Order_Time].&amp;[1899-12-30T20:56:00]"/>
            <x15:cachedUniqueName index="327" name="[Restaurant_Data].[Order_Time].&amp;[1899-12-30T20:57:00]"/>
            <x15:cachedUniqueName index="328" name="[Restaurant_Data].[Order_Time].&amp;[1899-12-30T20:58:00]"/>
            <x15:cachedUniqueName index="329" name="[Restaurant_Data].[Order_Time].&amp;[1899-12-30T21:03:00]"/>
            <x15:cachedUniqueName index="330" name="[Restaurant_Data].[Order_Time].&amp;[1899-12-30T21:07:00]"/>
            <x15:cachedUniqueName index="331" name="[Restaurant_Data].[Order_Time].&amp;[1899-12-30T21:08:00]"/>
            <x15:cachedUniqueName index="332" name="[Restaurant_Data].[Order_Time].&amp;[1899-12-30T21:10:00]"/>
            <x15:cachedUniqueName index="333" name="[Restaurant_Data].[Order_Time].&amp;[1899-12-30T21:15:00]"/>
            <x15:cachedUniqueName index="334" name="[Restaurant_Data].[Order_Time].&amp;[1899-12-30T21:18:00]"/>
            <x15:cachedUniqueName index="335" name="[Restaurant_Data].[Order_Time].&amp;[1899-12-30T21:19:00]"/>
            <x15:cachedUniqueName index="336" name="[Restaurant_Data].[Order_Time].&amp;[1899-12-30T21:27:00]"/>
            <x15:cachedUniqueName index="337" name="[Restaurant_Data].[Order_Time].&amp;[1899-12-30T21:29:00]"/>
            <x15:cachedUniqueName index="338" name="[Restaurant_Data].[Order_Time].&amp;[1899-12-30T21:31:00]"/>
            <x15:cachedUniqueName index="339" name="[Restaurant_Data].[Order_Time].&amp;[1899-12-30T21:34:00]"/>
            <x15:cachedUniqueName index="340" name="[Restaurant_Data].[Order_Time].&amp;[1899-12-30T21:36:00]"/>
            <x15:cachedUniqueName index="341" name="[Restaurant_Data].[Order_Time].&amp;[1899-12-30T21:39:00]"/>
            <x15:cachedUniqueName index="342" name="[Restaurant_Data].[Order_Time].&amp;[1899-12-30T21:40:00]"/>
            <x15:cachedUniqueName index="343" name="[Restaurant_Data].[Order_Time].&amp;[1899-12-30T21:41:00]"/>
            <x15:cachedUniqueName index="344" name="[Restaurant_Data].[Order_Time].&amp;[1899-12-30T21:42:00]"/>
            <x15:cachedUniqueName index="345" name="[Restaurant_Data].[Order_Time].&amp;[1899-12-30T21:43:00]"/>
            <x15:cachedUniqueName index="346" name="[Restaurant_Data].[Order_Time].&amp;[1899-12-30T21:44:00]"/>
            <x15:cachedUniqueName index="347" name="[Restaurant_Data].[Order_Time].&amp;[1899-12-30T21:47:00]"/>
            <x15:cachedUniqueName index="348" name="[Restaurant_Data].[Order_Time].&amp;[1899-12-30T21:48:00]"/>
            <x15:cachedUniqueName index="349" name="[Restaurant_Data].[Order_Time].&amp;[1899-12-30T21:50:00]"/>
            <x15:cachedUniqueName index="350" name="[Restaurant_Data].[Order_Time].&amp;[1899-12-30T21:52:00]"/>
            <x15:cachedUniqueName index="351" name="[Restaurant_Data].[Order_Time].&amp;[1899-12-30T21:53:00]"/>
            <x15:cachedUniqueName index="352" name="[Restaurant_Data].[Order_Time].&amp;[1899-12-30T21:54:00]"/>
            <x15:cachedUniqueName index="353" name="[Restaurant_Data].[Order_Time].&amp;[1899-12-30T21:55:00]"/>
            <x15:cachedUniqueName index="354" name="[Restaurant_Data].[Order_Time].&amp;[1899-12-30T21:57:00]"/>
            <x15:cachedUniqueName index="355" name="[Restaurant_Data].[Order_Time].&amp;[1899-12-30T21:58:00]"/>
            <x15:cachedUniqueName index="356" name="[Restaurant_Data].[Order_Time].&amp;[1899-12-30T22:00:00]"/>
            <x15:cachedUniqueName index="357" name="[Restaurant_Data].[Order_Time].&amp;[1899-12-30T22:01:00]"/>
            <x15:cachedUniqueName index="358" name="[Restaurant_Data].[Order_Time].&amp;[1899-12-30T22:02:00]"/>
            <x15:cachedUniqueName index="359" name="[Restaurant_Data].[Order_Time].&amp;[1899-12-30T22:03:00]"/>
            <x15:cachedUniqueName index="360" name="[Restaurant_Data].[Order_Time].&amp;[1899-12-30T22:04:00]"/>
            <x15:cachedUniqueName index="361" name="[Restaurant_Data].[Order_Time].&amp;[1899-12-30T22:05:00]"/>
            <x15:cachedUniqueName index="362" name="[Restaurant_Data].[Order_Time].&amp;[1899-12-30T22:07:00]"/>
            <x15:cachedUniqueName index="363" name="[Restaurant_Data].[Order_Time].&amp;[1899-12-30T22:10:00]"/>
            <x15:cachedUniqueName index="364" name="[Restaurant_Data].[Order_Time].&amp;[1899-12-30T22:11:00]"/>
            <x15:cachedUniqueName index="365" name="[Restaurant_Data].[Order_Time].&amp;[1899-12-30T22:12:00]"/>
            <x15:cachedUniqueName index="366" name="[Restaurant_Data].[Order_Time].&amp;[1899-12-30T22:13:00]"/>
            <x15:cachedUniqueName index="367" name="[Restaurant_Data].[Order_Time].&amp;[1899-12-30T22:18:00]"/>
            <x15:cachedUniqueName index="368" name="[Restaurant_Data].[Order_Time].&amp;[1899-12-30T22:19:00]"/>
            <x15:cachedUniqueName index="369" name="[Restaurant_Data].[Order_Time].&amp;[1899-12-30T22:21:00]"/>
            <x15:cachedUniqueName index="370" name="[Restaurant_Data].[Order_Time].&amp;[1899-12-30T22:22:00]"/>
            <x15:cachedUniqueName index="371" name="[Restaurant_Data].[Order_Time].&amp;[1899-12-30T22:23:00]"/>
            <x15:cachedUniqueName index="372" name="[Restaurant_Data].[Order_Time].&amp;[1899-12-30T22:25:00]"/>
            <x15:cachedUniqueName index="373" name="[Restaurant_Data].[Order_Time].&amp;[1899-12-30T22:26:00]"/>
            <x15:cachedUniqueName index="374" name="[Restaurant_Data].[Order_Time].&amp;[1899-12-30T22:27:00]"/>
            <x15:cachedUniqueName index="375" name="[Restaurant_Data].[Order_Time].&amp;[1899-12-30T22:28:00]"/>
            <x15:cachedUniqueName index="376" name="[Restaurant_Data].[Order_Time].&amp;[1899-12-30T22:29:00]"/>
            <x15:cachedUniqueName index="377" name="[Restaurant_Data].[Order_Time].&amp;[1899-12-30T22:30:00]"/>
            <x15:cachedUniqueName index="378" name="[Restaurant_Data].[Order_Time].&amp;[1899-12-30T22:31:00]"/>
            <x15:cachedUniqueName index="379" name="[Restaurant_Data].[Order_Time].&amp;[1899-12-30T22:32:00]"/>
            <x15:cachedUniqueName index="380" name="[Restaurant_Data].[Order_Time].&amp;[1899-12-30T22:36:00]"/>
            <x15:cachedUniqueName index="381" name="[Restaurant_Data].[Order_Time].&amp;[1899-12-30T22:40:00]"/>
            <x15:cachedUniqueName index="382" name="[Restaurant_Data].[Order_Time].&amp;[1899-12-30T22:42:00]"/>
            <x15:cachedUniqueName index="383" name="[Restaurant_Data].[Order_Time].&amp;[1899-12-30T22:43:00]"/>
            <x15:cachedUniqueName index="384" name="[Restaurant_Data].[Order_Time].&amp;[1899-12-30T22:44:00]"/>
            <x15:cachedUniqueName index="385" name="[Restaurant_Data].[Order_Time].&amp;[1899-12-30T22:46:00]"/>
            <x15:cachedUniqueName index="386" name="[Restaurant_Data].[Order_Time].&amp;[1899-12-30T22:49:00]"/>
            <x15:cachedUniqueName index="387" name="[Restaurant_Data].[Order_Time].&amp;[1899-12-30T22:51:00]"/>
            <x15:cachedUniqueName index="388" name="[Restaurant_Data].[Order_Time].&amp;[1899-12-30T22:52:00]"/>
            <x15:cachedUniqueName index="389" name="[Restaurant_Data].[Order_Time].&amp;[1899-12-30T22:54:00]"/>
            <x15:cachedUniqueName index="390" name="[Restaurant_Data].[Order_Time].&amp;[1899-12-30T22:55:00]"/>
            <x15:cachedUniqueName index="391" name="[Restaurant_Data].[Order_Time].&amp;[1899-12-30T22:57:00]"/>
            <x15:cachedUniqueName index="392" name="[Restaurant_Data].[Order_Time].&amp;[1899-12-30T22:58:00]"/>
            <x15:cachedUniqueName index="393" name="[Restaurant_Data].[Order_Time].&amp;[1899-12-30T22:59:00]"/>
            <x15:cachedUniqueName index="394" name="[Restaurant_Data].[Order_Time].&amp;[1899-12-30T23:04:00]"/>
            <x15:cachedUniqueName index="395" name="[Restaurant_Data].[Order_Time].&amp;[1899-12-30T23:10:00]"/>
            <x15:cachedUniqueName index="396" name="[Restaurant_Data].[Order_Time].&amp;[1899-12-30T23:13:00]"/>
            <x15:cachedUniqueName index="397" name="[Restaurant_Data].[Order_Time].&amp;[1899-12-30T23:14:00]"/>
            <x15:cachedUniqueName index="398" name="[Restaurant_Data].[Order_Time].&amp;[1899-12-30T23:15:00]"/>
            <x15:cachedUniqueName index="399" name="[Restaurant_Data].[Order_Time].&amp;[1899-12-30T23:17:00]"/>
            <x15:cachedUniqueName index="400" name="[Restaurant_Data].[Order_Time].&amp;[1899-12-30T23:18:00]"/>
            <x15:cachedUniqueName index="401" name="[Restaurant_Data].[Order_Time].&amp;[1899-12-30T23:20:00]"/>
            <x15:cachedUniqueName index="402" name="[Restaurant_Data].[Order_Time].&amp;[1899-12-30T23:24:00]"/>
            <x15:cachedUniqueName index="403" name="[Restaurant_Data].[Order_Time].&amp;[1899-12-30T23:25:00]"/>
            <x15:cachedUniqueName index="404" name="[Restaurant_Data].[Order_Time].&amp;[1899-12-30T23:26:00]"/>
            <x15:cachedUniqueName index="405" name="[Restaurant_Data].[Order_Time].&amp;[1899-12-30T23:28:00]"/>
            <x15:cachedUniqueName index="406" name="[Restaurant_Data].[Order_Time].&amp;[1899-12-30T23:33:00]"/>
            <x15:cachedUniqueName index="407" name="[Restaurant_Data].[Order_Time].&amp;[1899-12-30T23:41:00]"/>
            <x15:cachedUniqueName index="408" name="[Restaurant_Data].[Order_Time].&amp;[1899-12-30T23:50:00]"/>
            <x15:cachedUniqueName index="409" name="[Restaurant_Data].[Order_Time].&amp;[1899-12-30T23:51:00]"/>
            <x15:cachedUniqueName index="410" name="[Restaurant_Data].[Order_Time].&amp;[1899-12-30T23:53:00]"/>
            <x15:cachedUniqueName index="411" name="[Restaurant_Data].[Order_Time].&amp;[1899-12-30T23:58:00]"/>
            <x15:cachedUniqueName index="412" name="[Restaurant_Data].[Order_Time].&amp;[1899-12-30T09:03:00]"/>
            <x15:cachedUniqueName index="413" name="[Restaurant_Data].[Order_Time].&amp;[1899-12-30T09:05:00]"/>
            <x15:cachedUniqueName index="414" name="[Restaurant_Data].[Order_Time].&amp;[1899-12-30T09:07:00]"/>
            <x15:cachedUniqueName index="415" name="[Restaurant_Data].[Order_Time].&amp;[1899-12-30T09:10:00]"/>
            <x15:cachedUniqueName index="416" name="[Restaurant_Data].[Order_Time].&amp;[1899-12-30T09:17:00]"/>
            <x15:cachedUniqueName index="417" name="[Restaurant_Data].[Order_Time].&amp;[1899-12-30T09:18:00]"/>
            <x15:cachedUniqueName index="418" name="[Restaurant_Data].[Order_Time].&amp;[1899-12-30T09:21:00]"/>
            <x15:cachedUniqueName index="419" name="[Restaurant_Data].[Order_Time].&amp;[1899-12-30T09:22:00]"/>
            <x15:cachedUniqueName index="420" name="[Restaurant_Data].[Order_Time].&amp;[1899-12-30T09:23:00]"/>
            <x15:cachedUniqueName index="421" name="[Restaurant_Data].[Order_Time].&amp;[1899-12-30T09:25:00]"/>
            <x15:cachedUniqueName index="422" name="[Restaurant_Data].[Order_Time].&amp;[1899-12-30T09:29:00]"/>
            <x15:cachedUniqueName index="423" name="[Restaurant_Data].[Order_Time].&amp;[1899-12-30T09:33:00]"/>
            <x15:cachedUniqueName index="424" name="[Restaurant_Data].[Order_Time].&amp;[1899-12-30T09:34:00]"/>
            <x15:cachedUniqueName index="425" name="[Restaurant_Data].[Order_Time].&amp;[1899-12-30T09:35:00]"/>
            <x15:cachedUniqueName index="426" name="[Restaurant_Data].[Order_Time].&amp;[1899-12-30T09:37:00]"/>
            <x15:cachedUniqueName index="427" name="[Restaurant_Data].[Order_Time].&amp;[1899-12-30T09:39:00]"/>
            <x15:cachedUniqueName index="428" name="[Restaurant_Data].[Order_Time].&amp;[1899-12-30T09:40:00]"/>
            <x15:cachedUniqueName index="429" name="[Restaurant_Data].[Order_Time].&amp;[1899-12-30T09:42:00]"/>
            <x15:cachedUniqueName index="430" name="[Restaurant_Data].[Order_Time].&amp;[1899-12-30T09:43:00]"/>
            <x15:cachedUniqueName index="431" name="[Restaurant_Data].[Order_Time].&amp;[1899-12-30T09:45:00]"/>
            <x15:cachedUniqueName index="432" name="[Restaurant_Data].[Order_Time].&amp;[1899-12-30T09:46:00]"/>
            <x15:cachedUniqueName index="433" name="[Restaurant_Data].[Order_Time].&amp;[1899-12-30T09:48:00]"/>
            <x15:cachedUniqueName index="434" name="[Restaurant_Data].[Order_Time].&amp;[1899-12-30T09:50:00]"/>
            <x15:cachedUniqueName index="435" name="[Restaurant_Data].[Order_Time].&amp;[1899-12-30T09:51:00]"/>
            <x15:cachedUniqueName index="436" name="[Restaurant_Data].[Order_Time].&amp;[1899-12-30T09:53:00]"/>
            <x15:cachedUniqueName index="437" name="[Restaurant_Data].[Order_Time].&amp;[1899-12-30T09:54:00]"/>
            <x15:cachedUniqueName index="438" name="[Restaurant_Data].[Order_Time].&amp;[1899-12-30T09:55:00]"/>
            <x15:cachedUniqueName index="439" name="[Restaurant_Data].[Order_Time].&amp;[1899-12-30T09:58:00]"/>
            <x15:cachedUniqueName index="440" name="[Restaurant_Data].[Order_Time].&amp;[1899-12-30T09:59:00]"/>
          </x15:cachedUniqueNames>
        </ext>
      </extLst>
    </cacheField>
    <cacheField name="[Restaurant_Data].[Order_Time (Minute)].[Order_Time (Minute)]" caption="Order_Time (Minute)" numFmtId="0" hierarchy="13" level="1">
      <sharedItems count="1">
        <s v="12"/>
      </sharedItems>
    </cacheField>
    <cacheField name="[Restaurant_Data].[Order_Time (Hour)].[Order_Time (Hour)]" caption="Order_Time (Hour)" numFmtId="0" hierarchy="12" level="1">
      <sharedItems count="15">
        <s v="10"/>
        <s v="11"/>
        <s v="12"/>
        <s v="13"/>
        <s v="14"/>
        <s v="15"/>
        <s v="16"/>
        <s v="17"/>
        <s v="18"/>
        <s v="19"/>
        <s v="20"/>
        <s v="21"/>
        <s v="22"/>
        <s v="23"/>
        <s v="9"/>
      </sharedItems>
    </cacheField>
    <cacheField name="[Measures].[Sum of Total_Sales]" caption="Sum of Total_Sales" numFmtId="0" hierarchy="18" level="32767"/>
    <cacheField name="[Measures].[Count of Order_ID]" caption="Count of Order_ID" numFmtId="0" hierarchy="19" level="32767"/>
    <cacheField name="[Restaurant_Data].[Food_Category].[Food_Category]" caption="Food_Category" numFmtId="0" hierarchy="4" level="1">
      <sharedItems containsSemiMixedTypes="0" containsNonDate="0" containsString="0"/>
    </cacheField>
  </cacheFields>
  <cacheHierarchies count="21">
    <cacheHierarchy uniqueName="[Restaurant_Data].[Order_ID]" caption="Order_ID" attribute="1" defaultMemberUniqueName="[Restaurant_Data].[Order_ID].[All]" allUniqueName="[Restaurant_Data].[Order_ID].[All]" dimensionUniqueName="[Restaurant_Data]" displayFolder="" count="0" memberValueDatatype="130" unbalanced="0"/>
    <cacheHierarchy uniqueName="[Restaurant_Data].[Order_Date]" caption="Order_Date" attribute="1" time="1" defaultMemberUniqueName="[Restaurant_Data].[Order_Date].[All]" allUniqueName="[Restaurant_Data].[Order_Date].[All]" dimensionUniqueName="[Restaurant_Data]" displayFolder="" count="0" memberValueDatatype="7" unbalanced="0"/>
    <cacheHierarchy uniqueName="[Restaurant_Data].[Order_Time]" caption="Order_Time" attribute="1" time="1" defaultMemberUniqueName="[Restaurant_Data].[Order_Time].[All]" allUniqueName="[Restaurant_Data].[Order_Time].[All]" dimensionUniqueName="[Restaurant_Data]" displayFolder="" count="2" memberValueDatatype="7" unbalanced="0">
      <fieldsUsage count="2">
        <fieldUsage x="-1"/>
        <fieldUsage x="0"/>
      </fieldsUsage>
    </cacheHierarchy>
    <cacheHierarchy uniqueName="[Restaurant_Data].[Customer_Name]" caption="Customer_Name" attribute="1" defaultMemberUniqueName="[Restaurant_Data].[Customer_Name].[All]" allUniqueName="[Restaurant_Data].[Customer_Name].[All]" dimensionUniqueName="[Restaurant_Data]" displayFolder="" count="0" memberValueDatatype="130" unbalanced="0"/>
    <cacheHierarchy uniqueName="[Restaurant_Data].[Food_Category]" caption="Food_Category" attribute="1" defaultMemberUniqueName="[Restaurant_Data].[Food_Category].[All]" allUniqueName="[Restaurant_Data].[Food_Category].[All]" dimensionUniqueName="[Restaurant_Data]" displayFolder="" count="2" memberValueDatatype="130" unbalanced="0">
      <fieldsUsage count="2">
        <fieldUsage x="-1"/>
        <fieldUsage x="5"/>
      </fieldsUsage>
    </cacheHierarchy>
    <cacheHierarchy uniqueName="[Restaurant_Data].[Item_Name]" caption="Item_Name" attribute="1" defaultMemberUniqueName="[Restaurant_Data].[Item_Name].[All]" allUniqueName="[Restaurant_Data].[Item_Name].[All]" dimensionUniqueName="[Restaurant_Data]" displayFolder="" count="0" memberValueDatatype="130" unbalanced="0"/>
    <cacheHierarchy uniqueName="[Restaurant_Data].[Quantity]" caption="Quantity" attribute="1" defaultMemberUniqueName="[Restaurant_Data].[Quantity].[All]" allUniqueName="[Restaurant_Data].[Quantity].[All]" dimensionUniqueName="[Restaurant_Data]" displayFolder="" count="0" memberValueDatatype="20" unbalanced="0"/>
    <cacheHierarchy uniqueName="[Restaurant_Data].[Unit_Price]" caption="Unit_Price" attribute="1" defaultMemberUniqueName="[Restaurant_Data].[Unit_Price].[All]" allUniqueName="[Restaurant_Data].[Unit_Price].[All]" dimensionUniqueName="[Restaurant_Data]" displayFolder="" count="0" memberValueDatatype="5" unbalanced="0"/>
    <cacheHierarchy uniqueName="[Restaurant_Data].[Total_Sales]" caption="Total_Sales" attribute="1" defaultMemberUniqueName="[Restaurant_Data].[Total_Sales].[All]" allUniqueName="[Restaurant_Data].[Total_Sales].[All]" dimensionUniqueName="[Restaurant_Data]" displayFolder="" count="0" memberValueDatatype="5" unbalanced="0"/>
    <cacheHierarchy uniqueName="[Restaurant_Data].[Delivery_Mode]" caption="Delivery_Mode" attribute="1" defaultMemberUniqueName="[Restaurant_Data].[Delivery_Mode].[All]" allUniqueName="[Restaurant_Data].[Delivery_Mode].[All]" dimensionUniqueName="[Restaurant_Data]" displayFolder="" count="2" memberValueDatatype="130" unbalanced="0"/>
    <cacheHierarchy uniqueName="[Restaurant_Data].[Payment_Method]" caption="Payment_Method" attribute="1" defaultMemberUniqueName="[Restaurant_Data].[Payment_Method].[All]" allUniqueName="[Restaurant_Data].[Payment_Method].[All]" dimensionUniqueName="[Restaurant_Data]" displayFolder="" count="2" memberValueDatatype="130" unbalanced="0"/>
    <cacheHierarchy uniqueName="[Restaurant_Data].[Customer_Rating]" caption="Customer_Rating" attribute="1" defaultMemberUniqueName="[Restaurant_Data].[Customer_Rating].[All]" allUniqueName="[Restaurant_Data].[Customer_Rating].[All]" dimensionUniqueName="[Restaurant_Data]" displayFolder="" count="2" memberValueDatatype="20" unbalanced="0"/>
    <cacheHierarchy uniqueName="[Restaurant_Data].[Order_Time (Hour)]" caption="Order_Time (Hour)" attribute="1" defaultMemberUniqueName="[Restaurant_Data].[Order_Time (Hour)].[All]" allUniqueName="[Restaurant_Data].[Order_Time (Hour)].[All]" dimensionUniqueName="[Restaurant_Data]" displayFolder="" count="2" memberValueDatatype="130" unbalanced="0">
      <fieldsUsage count="2">
        <fieldUsage x="-1"/>
        <fieldUsage x="2"/>
      </fieldsUsage>
    </cacheHierarchy>
    <cacheHierarchy uniqueName="[Restaurant_Data].[Order_Time (Minute)]" caption="Order_Time (Minute)" attribute="1" defaultMemberUniqueName="[Restaurant_Data].[Order_Time (Minute)].[All]" allUniqueName="[Restaurant_Data].[Order_Time (Minute)].[All]" dimensionUniqueName="[Restaurant_Data]" displayFolder="" count="2" memberValueDatatype="130" unbalanced="0">
      <fieldsUsage count="2">
        <fieldUsage x="-1"/>
        <fieldUsage x="1"/>
      </fieldsUsage>
    </cacheHierarchy>
    <cacheHierarchy uniqueName="[Restaurant_Data].[Order_Date (Month)]" caption="Order_Date (Month)" attribute="1" defaultMemberUniqueName="[Restaurant_Data].[Order_Date (Month)].[All]" allUniqueName="[Restaurant_Data].[Order_Date (Month)].[All]" dimensionUniqueName="[Restaurant_Data]" displayFolder="" count="0" memberValueDatatype="130" unbalanced="0"/>
    <cacheHierarchy uniqueName="[Restaurant_Data].[Order_Date (Month Index)]" caption="Order_Date (Month Index)" attribute="1" defaultMemberUniqueName="[Restaurant_Data].[Order_Date (Month Index)].[All]" allUniqueName="[Restaurant_Data].[Order_Date (Month Index)].[All]" dimensionUniqueName="[Restaurant_Data]" displayFolder="" count="0" memberValueDatatype="20" unbalanced="0" hidden="1"/>
    <cacheHierarchy uniqueName="[Measures].[__XL_Count Restaurant_Data]" caption="__XL_Count Restaurant_Data" measure="1" displayFolder="" measureGroup="Restaurant_Data" count="0" hidden="1"/>
    <cacheHierarchy uniqueName="[Measures].[__No measures defined]" caption="__No measures defined" measure="1" displayFolder="" count="0" hidden="1"/>
    <cacheHierarchy uniqueName="[Measures].[Sum of Total_Sales]" caption="Sum of Total_Sales" measure="1" displayFolder="" measureGroup="Restaurant_Data"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Restaurant_Data"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aurant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estaurant_Data" uniqueName="[Restaurant_Data]" caption="Restaurant_Data"/>
  </dimensions>
  <measureGroups count="1">
    <measureGroup name="Restaurant_Data" caption="Restaurant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Mounika" refreshedDate="46157.805077314813" backgroundQuery="1" createdVersion="8" refreshedVersion="8" minRefreshableVersion="3" recordCount="0" supportSubquery="1" supportAdvancedDrill="1" xr:uid="{669953B7-DBD7-42E7-8B03-5222770F0596}">
  <cacheSource type="external" connectionId="3"/>
  <cacheFields count="3">
    <cacheField name="[Restaurant_Data].[Delivery_Mode].[Delivery_Mode]" caption="Delivery_Mode" numFmtId="0" hierarchy="9" level="1">
      <sharedItems count="3">
        <s v="Delivery"/>
        <s v="Dine-In"/>
        <s v="Takeaway"/>
      </sharedItems>
    </cacheField>
    <cacheField name="[Measures].[Count of Order_ID]" caption="Count of Order_ID" numFmtId="0" hierarchy="19" level="32767"/>
    <cacheField name="[Restaurant_Data].[Food_Category].[Food_Category]" caption="Food_Category" numFmtId="0" hierarchy="4" level="1">
      <sharedItems containsSemiMixedTypes="0" containsNonDate="0" containsString="0"/>
    </cacheField>
  </cacheFields>
  <cacheHierarchies count="21">
    <cacheHierarchy uniqueName="[Restaurant_Data].[Order_ID]" caption="Order_ID" attribute="1" defaultMemberUniqueName="[Restaurant_Data].[Order_ID].[All]" allUniqueName="[Restaurant_Data].[Order_ID].[All]" dimensionUniqueName="[Restaurant_Data]" displayFolder="" count="0" memberValueDatatype="130" unbalanced="0"/>
    <cacheHierarchy uniqueName="[Restaurant_Data].[Order_Date]" caption="Order_Date" attribute="1" time="1" defaultMemberUniqueName="[Restaurant_Data].[Order_Date].[All]" allUniqueName="[Restaurant_Data].[Order_Date].[All]" dimensionUniqueName="[Restaurant_Data]" displayFolder="" count="0" memberValueDatatype="7" unbalanced="0"/>
    <cacheHierarchy uniqueName="[Restaurant_Data].[Order_Time]" caption="Order_Time" attribute="1" time="1" defaultMemberUniqueName="[Restaurant_Data].[Order_Time].[All]" allUniqueName="[Restaurant_Data].[Order_Time].[All]" dimensionUniqueName="[Restaurant_Data]" displayFolder="" count="0" memberValueDatatype="7" unbalanced="0"/>
    <cacheHierarchy uniqueName="[Restaurant_Data].[Customer_Name]" caption="Customer_Name" attribute="1" defaultMemberUniqueName="[Restaurant_Data].[Customer_Name].[All]" allUniqueName="[Restaurant_Data].[Customer_Name].[All]" dimensionUniqueName="[Restaurant_Data]" displayFolder="" count="0" memberValueDatatype="130" unbalanced="0"/>
    <cacheHierarchy uniqueName="[Restaurant_Data].[Food_Category]" caption="Food_Category" attribute="1" defaultMemberUniqueName="[Restaurant_Data].[Food_Category].[All]" allUniqueName="[Restaurant_Data].[Food_Category].[All]" dimensionUniqueName="[Restaurant_Data]" displayFolder="" count="2" memberValueDatatype="130" unbalanced="0">
      <fieldsUsage count="2">
        <fieldUsage x="-1"/>
        <fieldUsage x="2"/>
      </fieldsUsage>
    </cacheHierarchy>
    <cacheHierarchy uniqueName="[Restaurant_Data].[Item_Name]" caption="Item_Name" attribute="1" defaultMemberUniqueName="[Restaurant_Data].[Item_Name].[All]" allUniqueName="[Restaurant_Data].[Item_Name].[All]" dimensionUniqueName="[Restaurant_Data]" displayFolder="" count="0" memberValueDatatype="130" unbalanced="0"/>
    <cacheHierarchy uniqueName="[Restaurant_Data].[Quantity]" caption="Quantity" attribute="1" defaultMemberUniqueName="[Restaurant_Data].[Quantity].[All]" allUniqueName="[Restaurant_Data].[Quantity].[All]" dimensionUniqueName="[Restaurant_Data]" displayFolder="" count="0" memberValueDatatype="20" unbalanced="0"/>
    <cacheHierarchy uniqueName="[Restaurant_Data].[Unit_Price]" caption="Unit_Price" attribute="1" defaultMemberUniqueName="[Restaurant_Data].[Unit_Price].[All]" allUniqueName="[Restaurant_Data].[Unit_Price].[All]" dimensionUniqueName="[Restaurant_Data]" displayFolder="" count="0" memberValueDatatype="5" unbalanced="0"/>
    <cacheHierarchy uniqueName="[Restaurant_Data].[Total_Sales]" caption="Total_Sales" attribute="1" defaultMemberUniqueName="[Restaurant_Data].[Total_Sales].[All]" allUniqueName="[Restaurant_Data].[Total_Sales].[All]" dimensionUniqueName="[Restaurant_Data]" displayFolder="" count="0" memberValueDatatype="5" unbalanced="0"/>
    <cacheHierarchy uniqueName="[Restaurant_Data].[Delivery_Mode]" caption="Delivery_Mode" attribute="1" defaultMemberUniqueName="[Restaurant_Data].[Delivery_Mode].[All]" allUniqueName="[Restaurant_Data].[Delivery_Mode].[All]" dimensionUniqueName="[Restaurant_Data]" displayFolder="" count="2" memberValueDatatype="130" unbalanced="0">
      <fieldsUsage count="2">
        <fieldUsage x="-1"/>
        <fieldUsage x="0"/>
      </fieldsUsage>
    </cacheHierarchy>
    <cacheHierarchy uniqueName="[Restaurant_Data].[Payment_Method]" caption="Payment_Method" attribute="1" defaultMemberUniqueName="[Restaurant_Data].[Payment_Method].[All]" allUniqueName="[Restaurant_Data].[Payment_Method].[All]" dimensionUniqueName="[Restaurant_Data]" displayFolder="" count="2" memberValueDatatype="130" unbalanced="0"/>
    <cacheHierarchy uniqueName="[Restaurant_Data].[Customer_Rating]" caption="Customer_Rating" attribute="1" defaultMemberUniqueName="[Restaurant_Data].[Customer_Rating].[All]" allUniqueName="[Restaurant_Data].[Customer_Rating].[All]" dimensionUniqueName="[Restaurant_Data]" displayFolder="" count="2" memberValueDatatype="20" unbalanced="0"/>
    <cacheHierarchy uniqueName="[Restaurant_Data].[Order_Time (Hour)]" caption="Order_Time (Hour)" attribute="1" defaultMemberUniqueName="[Restaurant_Data].[Order_Time (Hour)].[All]" allUniqueName="[Restaurant_Data].[Order_Time (Hour)].[All]" dimensionUniqueName="[Restaurant_Data]" displayFolder="" count="0" memberValueDatatype="130" unbalanced="0"/>
    <cacheHierarchy uniqueName="[Restaurant_Data].[Order_Time (Minute)]" caption="Order_Time (Minute)" attribute="1" defaultMemberUniqueName="[Restaurant_Data].[Order_Time (Minute)].[All]" allUniqueName="[Restaurant_Data].[Order_Time (Minute)].[All]" dimensionUniqueName="[Restaurant_Data]" displayFolder="" count="0" memberValueDatatype="130" unbalanced="0"/>
    <cacheHierarchy uniqueName="[Restaurant_Data].[Order_Date (Month)]" caption="Order_Date (Month)" attribute="1" defaultMemberUniqueName="[Restaurant_Data].[Order_Date (Month)].[All]" allUniqueName="[Restaurant_Data].[Order_Date (Month)].[All]" dimensionUniqueName="[Restaurant_Data]" displayFolder="" count="0" memberValueDatatype="130" unbalanced="0"/>
    <cacheHierarchy uniqueName="[Restaurant_Data].[Order_Date (Month Index)]" caption="Order_Date (Month Index)" attribute="1" defaultMemberUniqueName="[Restaurant_Data].[Order_Date (Month Index)].[All]" allUniqueName="[Restaurant_Data].[Order_Date (Month Index)].[All]" dimensionUniqueName="[Restaurant_Data]" displayFolder="" count="0" memberValueDatatype="20" unbalanced="0" hidden="1"/>
    <cacheHierarchy uniqueName="[Measures].[__XL_Count Restaurant_Data]" caption="__XL_Count Restaurant_Data" measure="1" displayFolder="" measureGroup="Restaurant_Data" count="0" hidden="1"/>
    <cacheHierarchy uniqueName="[Measures].[__No measures defined]" caption="__No measures defined" measure="1" displayFolder="" count="0" hidden="1"/>
    <cacheHierarchy uniqueName="[Measures].[Sum of Total_Sales]" caption="Sum of Total_Sales" measure="1" displayFolder="" measureGroup="Restaurant_Data"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Restaurant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aurant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estaurant_Data" uniqueName="[Restaurant_Data]" caption="Restaurant_Data"/>
  </dimensions>
  <measureGroups count="1">
    <measureGroup name="Restaurant_Data" caption="Restaurant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Mounika" refreshedDate="46157.805077662037" backgroundQuery="1" createdVersion="8" refreshedVersion="8" minRefreshableVersion="3" recordCount="0" supportSubquery="1" supportAdvancedDrill="1" xr:uid="{DB69C696-6569-4EA0-9F29-E239D6CD7973}">
  <cacheSource type="external" connectionId="3"/>
  <cacheFields count="4">
    <cacheField name="[Restaurant_Data].[Order_Date].[Order_Date]" caption="Order_Date" numFmtId="0" hierarchy="1" level="1">
      <sharedItems containsSemiMixedTypes="0" containsNonDate="0" containsDate="1" containsString="0" minDate="2025-01-01T00:00:00" maxDate="2025-07-01T00:00:00" count="17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7T00:00:00"/>
        <d v="2025-02-08T00:00:00"/>
        <d v="2025-02-09T00:00:00"/>
        <d v="2025-02-10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8T00:00:00"/>
        <d v="2025-04-09T00:00:00"/>
        <d v="2025-04-10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sharedItems>
    </cacheField>
    <cacheField name="[Restaurant_Data].[Order_Date (Month)].[Order_Date (Month)]" caption="Order_Date (Month)" numFmtId="0" hierarchy="14" level="1">
      <sharedItems count="6">
        <s v="Jan"/>
        <s v="Feb"/>
        <s v="Mar"/>
        <s v="Apr"/>
        <s v="May"/>
        <s v="Jun"/>
      </sharedItems>
    </cacheField>
    <cacheField name="[Measures].[Sum of Total_Sales]" caption="Sum of Total_Sales" numFmtId="0" hierarchy="18" level="32767"/>
    <cacheField name="[Restaurant_Data].[Food_Category].[Food_Category]" caption="Food_Category" numFmtId="0" hierarchy="4" level="1">
      <sharedItems containsSemiMixedTypes="0" containsNonDate="0" containsString="0"/>
    </cacheField>
  </cacheFields>
  <cacheHierarchies count="21">
    <cacheHierarchy uniqueName="[Restaurant_Data].[Order_ID]" caption="Order_ID" attribute="1" defaultMemberUniqueName="[Restaurant_Data].[Order_ID].[All]" allUniqueName="[Restaurant_Data].[Order_ID].[All]" dimensionUniqueName="[Restaurant_Data]" displayFolder="" count="0" memberValueDatatype="130" unbalanced="0"/>
    <cacheHierarchy uniqueName="[Restaurant_Data].[Order_Date]" caption="Order_Date" attribute="1" time="1" defaultMemberUniqueName="[Restaurant_Data].[Order_Date].[All]" allUniqueName="[Restaurant_Data].[Order_Date].[All]" dimensionUniqueName="[Restaurant_Data]" displayFolder="" count="2" memberValueDatatype="7" unbalanced="0">
      <fieldsUsage count="2">
        <fieldUsage x="-1"/>
        <fieldUsage x="0"/>
      </fieldsUsage>
    </cacheHierarchy>
    <cacheHierarchy uniqueName="[Restaurant_Data].[Order_Time]" caption="Order_Time" attribute="1" time="1" defaultMemberUniqueName="[Restaurant_Data].[Order_Time].[All]" allUniqueName="[Restaurant_Data].[Order_Time].[All]" dimensionUniqueName="[Restaurant_Data]" displayFolder="" count="0" memberValueDatatype="7" unbalanced="0"/>
    <cacheHierarchy uniqueName="[Restaurant_Data].[Customer_Name]" caption="Customer_Name" attribute="1" defaultMemberUniqueName="[Restaurant_Data].[Customer_Name].[All]" allUniqueName="[Restaurant_Data].[Customer_Name].[All]" dimensionUniqueName="[Restaurant_Data]" displayFolder="" count="0" memberValueDatatype="130" unbalanced="0"/>
    <cacheHierarchy uniqueName="[Restaurant_Data].[Food_Category]" caption="Food_Category" attribute="1" defaultMemberUniqueName="[Restaurant_Data].[Food_Category].[All]" allUniqueName="[Restaurant_Data].[Food_Category].[All]" dimensionUniqueName="[Restaurant_Data]" displayFolder="" count="2" memberValueDatatype="130" unbalanced="0">
      <fieldsUsage count="2">
        <fieldUsage x="-1"/>
        <fieldUsage x="3"/>
      </fieldsUsage>
    </cacheHierarchy>
    <cacheHierarchy uniqueName="[Restaurant_Data].[Item_Name]" caption="Item_Name" attribute="1" defaultMemberUniqueName="[Restaurant_Data].[Item_Name].[All]" allUniqueName="[Restaurant_Data].[Item_Name].[All]" dimensionUniqueName="[Restaurant_Data]" displayFolder="" count="0" memberValueDatatype="130" unbalanced="0"/>
    <cacheHierarchy uniqueName="[Restaurant_Data].[Quantity]" caption="Quantity" attribute="1" defaultMemberUniqueName="[Restaurant_Data].[Quantity].[All]" allUniqueName="[Restaurant_Data].[Quantity].[All]" dimensionUniqueName="[Restaurant_Data]" displayFolder="" count="0" memberValueDatatype="20" unbalanced="0"/>
    <cacheHierarchy uniqueName="[Restaurant_Data].[Unit_Price]" caption="Unit_Price" attribute="1" defaultMemberUniqueName="[Restaurant_Data].[Unit_Price].[All]" allUniqueName="[Restaurant_Data].[Unit_Price].[All]" dimensionUniqueName="[Restaurant_Data]" displayFolder="" count="0" memberValueDatatype="5" unbalanced="0"/>
    <cacheHierarchy uniqueName="[Restaurant_Data].[Total_Sales]" caption="Total_Sales" attribute="1" defaultMemberUniqueName="[Restaurant_Data].[Total_Sales].[All]" allUniqueName="[Restaurant_Data].[Total_Sales].[All]" dimensionUniqueName="[Restaurant_Data]" displayFolder="" count="0" memberValueDatatype="5" unbalanced="0"/>
    <cacheHierarchy uniqueName="[Restaurant_Data].[Delivery_Mode]" caption="Delivery_Mode" attribute="1" defaultMemberUniqueName="[Restaurant_Data].[Delivery_Mode].[All]" allUniqueName="[Restaurant_Data].[Delivery_Mode].[All]" dimensionUniqueName="[Restaurant_Data]" displayFolder="" count="2" memberValueDatatype="130" unbalanced="0"/>
    <cacheHierarchy uniqueName="[Restaurant_Data].[Payment_Method]" caption="Payment_Method" attribute="1" defaultMemberUniqueName="[Restaurant_Data].[Payment_Method].[All]" allUniqueName="[Restaurant_Data].[Payment_Method].[All]" dimensionUniqueName="[Restaurant_Data]" displayFolder="" count="2" memberValueDatatype="130" unbalanced="0"/>
    <cacheHierarchy uniqueName="[Restaurant_Data].[Customer_Rating]" caption="Customer_Rating" attribute="1" defaultMemberUniqueName="[Restaurant_Data].[Customer_Rating].[All]" allUniqueName="[Restaurant_Data].[Customer_Rating].[All]" dimensionUniqueName="[Restaurant_Data]" displayFolder="" count="2" memberValueDatatype="20" unbalanced="0"/>
    <cacheHierarchy uniqueName="[Restaurant_Data].[Order_Time (Hour)]" caption="Order_Time (Hour)" attribute="1" defaultMemberUniqueName="[Restaurant_Data].[Order_Time (Hour)].[All]" allUniqueName="[Restaurant_Data].[Order_Time (Hour)].[All]" dimensionUniqueName="[Restaurant_Data]" displayFolder="" count="0" memberValueDatatype="130" unbalanced="0"/>
    <cacheHierarchy uniqueName="[Restaurant_Data].[Order_Time (Minute)]" caption="Order_Time (Minute)" attribute="1" defaultMemberUniqueName="[Restaurant_Data].[Order_Time (Minute)].[All]" allUniqueName="[Restaurant_Data].[Order_Time (Minute)].[All]" dimensionUniqueName="[Restaurant_Data]" displayFolder="" count="0" memberValueDatatype="130" unbalanced="0"/>
    <cacheHierarchy uniqueName="[Restaurant_Data].[Order_Date (Month)]" caption="Order_Date (Month)" attribute="1" defaultMemberUniqueName="[Restaurant_Data].[Order_Date (Month)].[All]" allUniqueName="[Restaurant_Data].[Order_Date (Month)].[All]" dimensionUniqueName="[Restaurant_Data]" displayFolder="" count="2" memberValueDatatype="130" unbalanced="0">
      <fieldsUsage count="2">
        <fieldUsage x="-1"/>
        <fieldUsage x="1"/>
      </fieldsUsage>
    </cacheHierarchy>
    <cacheHierarchy uniqueName="[Restaurant_Data].[Order_Date (Month Index)]" caption="Order_Date (Month Index)" attribute="1" defaultMemberUniqueName="[Restaurant_Data].[Order_Date (Month Index)].[All]" allUniqueName="[Restaurant_Data].[Order_Date (Month Index)].[All]" dimensionUniqueName="[Restaurant_Data]" displayFolder="" count="0" memberValueDatatype="20" unbalanced="0" hidden="1"/>
    <cacheHierarchy uniqueName="[Measures].[__XL_Count Restaurant_Data]" caption="__XL_Count Restaurant_Data" measure="1" displayFolder="" measureGroup="Restaurant_Data" count="0" hidden="1"/>
    <cacheHierarchy uniqueName="[Measures].[__No measures defined]" caption="__No measures defined" measure="1" displayFolder="" count="0" hidden="1"/>
    <cacheHierarchy uniqueName="[Measures].[Sum of Total_Sales]" caption="Sum of Total_Sales" measure="1" displayFolder="" measureGroup="Restaurant_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Restaurant_Data"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aurant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estaurant_Data" uniqueName="[Restaurant_Data]" caption="Restaurant_Data"/>
  </dimensions>
  <measureGroups count="1">
    <measureGroup name="Restaurant_Data" caption="Restaurant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Mounika" refreshedDate="46157.80507800926" backgroundQuery="1" createdVersion="8" refreshedVersion="8" minRefreshableVersion="3" recordCount="0" supportSubquery="1" supportAdvancedDrill="1" xr:uid="{021B2EC9-6A90-4D6B-BE80-53D5E5D5E53F}">
  <cacheSource type="external" connectionId="3"/>
  <cacheFields count="3">
    <cacheField name="[Restaurant_Data].[Customer_Rating].[Customer_Rating]" caption="Customer_Rating" numFmtId="0" hierarchy="11"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estaurant_Data].[Customer_Rating].&amp;[1]"/>
            <x15:cachedUniqueName index="1" name="[Restaurant_Data].[Customer_Rating].&amp;[2]"/>
            <x15:cachedUniqueName index="2" name="[Restaurant_Data].[Customer_Rating].&amp;[3]"/>
            <x15:cachedUniqueName index="3" name="[Restaurant_Data].[Customer_Rating].&amp;[4]"/>
            <x15:cachedUniqueName index="4" name="[Restaurant_Data].[Customer_Rating].&amp;[5]"/>
          </x15:cachedUniqueNames>
        </ext>
      </extLst>
    </cacheField>
    <cacheField name="[Measures].[Count of Order_ID]" caption="Count of Order_ID" numFmtId="0" hierarchy="19" level="32767"/>
    <cacheField name="[Restaurant_Data].[Food_Category].[Food_Category]" caption="Food_Category" numFmtId="0" hierarchy="4" level="1">
      <sharedItems containsSemiMixedTypes="0" containsNonDate="0" containsString="0"/>
    </cacheField>
  </cacheFields>
  <cacheHierarchies count="21">
    <cacheHierarchy uniqueName="[Restaurant_Data].[Order_ID]" caption="Order_ID" attribute="1" defaultMemberUniqueName="[Restaurant_Data].[Order_ID].[All]" allUniqueName="[Restaurant_Data].[Order_ID].[All]" dimensionUniqueName="[Restaurant_Data]" displayFolder="" count="0" memberValueDatatype="130" unbalanced="0"/>
    <cacheHierarchy uniqueName="[Restaurant_Data].[Order_Date]" caption="Order_Date" attribute="1" time="1" defaultMemberUniqueName="[Restaurant_Data].[Order_Date].[All]" allUniqueName="[Restaurant_Data].[Order_Date].[All]" dimensionUniqueName="[Restaurant_Data]" displayFolder="" count="0" memberValueDatatype="7" unbalanced="0"/>
    <cacheHierarchy uniqueName="[Restaurant_Data].[Order_Time]" caption="Order_Time" attribute="1" time="1" defaultMemberUniqueName="[Restaurant_Data].[Order_Time].[All]" allUniqueName="[Restaurant_Data].[Order_Time].[All]" dimensionUniqueName="[Restaurant_Data]" displayFolder="" count="0" memberValueDatatype="7" unbalanced="0"/>
    <cacheHierarchy uniqueName="[Restaurant_Data].[Customer_Name]" caption="Customer_Name" attribute="1" defaultMemberUniqueName="[Restaurant_Data].[Customer_Name].[All]" allUniqueName="[Restaurant_Data].[Customer_Name].[All]" dimensionUniqueName="[Restaurant_Data]" displayFolder="" count="0" memberValueDatatype="130" unbalanced="0"/>
    <cacheHierarchy uniqueName="[Restaurant_Data].[Food_Category]" caption="Food_Category" attribute="1" defaultMemberUniqueName="[Restaurant_Data].[Food_Category].[All]" allUniqueName="[Restaurant_Data].[Food_Category].[All]" dimensionUniqueName="[Restaurant_Data]" displayFolder="" count="2" memberValueDatatype="130" unbalanced="0">
      <fieldsUsage count="2">
        <fieldUsage x="-1"/>
        <fieldUsage x="2"/>
      </fieldsUsage>
    </cacheHierarchy>
    <cacheHierarchy uniqueName="[Restaurant_Data].[Item_Name]" caption="Item_Name" attribute="1" defaultMemberUniqueName="[Restaurant_Data].[Item_Name].[All]" allUniqueName="[Restaurant_Data].[Item_Name].[All]" dimensionUniqueName="[Restaurant_Data]" displayFolder="" count="0" memberValueDatatype="130" unbalanced="0"/>
    <cacheHierarchy uniqueName="[Restaurant_Data].[Quantity]" caption="Quantity" attribute="1" defaultMemberUniqueName="[Restaurant_Data].[Quantity].[All]" allUniqueName="[Restaurant_Data].[Quantity].[All]" dimensionUniqueName="[Restaurant_Data]" displayFolder="" count="0" memberValueDatatype="20" unbalanced="0"/>
    <cacheHierarchy uniqueName="[Restaurant_Data].[Unit_Price]" caption="Unit_Price" attribute="1" defaultMemberUniqueName="[Restaurant_Data].[Unit_Price].[All]" allUniqueName="[Restaurant_Data].[Unit_Price].[All]" dimensionUniqueName="[Restaurant_Data]" displayFolder="" count="0" memberValueDatatype="5" unbalanced="0"/>
    <cacheHierarchy uniqueName="[Restaurant_Data].[Total_Sales]" caption="Total_Sales" attribute="1" defaultMemberUniqueName="[Restaurant_Data].[Total_Sales].[All]" allUniqueName="[Restaurant_Data].[Total_Sales].[All]" dimensionUniqueName="[Restaurant_Data]" displayFolder="" count="0" memberValueDatatype="5" unbalanced="0"/>
    <cacheHierarchy uniqueName="[Restaurant_Data].[Delivery_Mode]" caption="Delivery_Mode" attribute="1" defaultMemberUniqueName="[Restaurant_Data].[Delivery_Mode].[All]" allUniqueName="[Restaurant_Data].[Delivery_Mode].[All]" dimensionUniqueName="[Restaurant_Data]" displayFolder="" count="2" memberValueDatatype="130" unbalanced="0"/>
    <cacheHierarchy uniqueName="[Restaurant_Data].[Payment_Method]" caption="Payment_Method" attribute="1" defaultMemberUniqueName="[Restaurant_Data].[Payment_Method].[All]" allUniqueName="[Restaurant_Data].[Payment_Method].[All]" dimensionUniqueName="[Restaurant_Data]" displayFolder="" count="2" memberValueDatatype="130" unbalanced="0"/>
    <cacheHierarchy uniqueName="[Restaurant_Data].[Customer_Rating]" caption="Customer_Rating" attribute="1" defaultMemberUniqueName="[Restaurant_Data].[Customer_Rating].[All]" allUniqueName="[Restaurant_Data].[Customer_Rating].[All]" dimensionUniqueName="[Restaurant_Data]" displayFolder="" count="2" memberValueDatatype="20" unbalanced="0">
      <fieldsUsage count="2">
        <fieldUsage x="-1"/>
        <fieldUsage x="0"/>
      </fieldsUsage>
    </cacheHierarchy>
    <cacheHierarchy uniqueName="[Restaurant_Data].[Order_Time (Hour)]" caption="Order_Time (Hour)" attribute="1" defaultMemberUniqueName="[Restaurant_Data].[Order_Time (Hour)].[All]" allUniqueName="[Restaurant_Data].[Order_Time (Hour)].[All]" dimensionUniqueName="[Restaurant_Data]" displayFolder="" count="0" memberValueDatatype="130" unbalanced="0"/>
    <cacheHierarchy uniqueName="[Restaurant_Data].[Order_Time (Minute)]" caption="Order_Time (Minute)" attribute="1" defaultMemberUniqueName="[Restaurant_Data].[Order_Time (Minute)].[All]" allUniqueName="[Restaurant_Data].[Order_Time (Minute)].[All]" dimensionUniqueName="[Restaurant_Data]" displayFolder="" count="0" memberValueDatatype="130" unbalanced="0"/>
    <cacheHierarchy uniqueName="[Restaurant_Data].[Order_Date (Month)]" caption="Order_Date (Month)" attribute="1" defaultMemberUniqueName="[Restaurant_Data].[Order_Date (Month)].[All]" allUniqueName="[Restaurant_Data].[Order_Date (Month)].[All]" dimensionUniqueName="[Restaurant_Data]" displayFolder="" count="0" memberValueDatatype="130" unbalanced="0"/>
    <cacheHierarchy uniqueName="[Restaurant_Data].[Order_Date (Month Index)]" caption="Order_Date (Month Index)" attribute="1" defaultMemberUniqueName="[Restaurant_Data].[Order_Date (Month Index)].[All]" allUniqueName="[Restaurant_Data].[Order_Date (Month Index)].[All]" dimensionUniqueName="[Restaurant_Data]" displayFolder="" count="0" memberValueDatatype="20" unbalanced="0" hidden="1"/>
    <cacheHierarchy uniqueName="[Measures].[__XL_Count Restaurant_Data]" caption="__XL_Count Restaurant_Data" measure="1" displayFolder="" measureGroup="Restaurant_Data" count="0" hidden="1"/>
    <cacheHierarchy uniqueName="[Measures].[__No measures defined]" caption="__No measures defined" measure="1" displayFolder="" count="0" hidden="1"/>
    <cacheHierarchy uniqueName="[Measures].[Sum of Total_Sales]" caption="Sum of Total_Sales" measure="1" displayFolder="" measureGroup="Restaurant_Data"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Restaurant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aurant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estaurant_Data" uniqueName="[Restaurant_Data]" caption="Restaurant_Data"/>
  </dimensions>
  <measureGroups count="1">
    <measureGroup name="Restaurant_Data" caption="Restaurant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Mounika" refreshedDate="46157.805078356483" backgroundQuery="1" createdVersion="8" refreshedVersion="8" minRefreshableVersion="3" recordCount="0" supportSubquery="1" supportAdvancedDrill="1" xr:uid="{46DE8428-8F5B-4B6B-A53E-42868DB24E0C}">
  <cacheSource type="external" connectionId="3"/>
  <cacheFields count="3">
    <cacheField name="[Restaurant_Data].[Payment_Method].[Payment_Method]" caption="Payment_Method" numFmtId="0" hierarchy="10" level="1">
      <sharedItems count="3">
        <s v="Card"/>
        <s v="Cash"/>
        <s v="UPI"/>
      </sharedItems>
    </cacheField>
    <cacheField name="[Measures].[Count of Order_ID]" caption="Count of Order_ID" numFmtId="0" hierarchy="19" level="32767"/>
    <cacheField name="[Restaurant_Data].[Food_Category].[Food_Category]" caption="Food_Category" numFmtId="0" hierarchy="4" level="1">
      <sharedItems containsSemiMixedTypes="0" containsNonDate="0" containsString="0"/>
    </cacheField>
  </cacheFields>
  <cacheHierarchies count="21">
    <cacheHierarchy uniqueName="[Restaurant_Data].[Order_ID]" caption="Order_ID" attribute="1" defaultMemberUniqueName="[Restaurant_Data].[Order_ID].[All]" allUniqueName="[Restaurant_Data].[Order_ID].[All]" dimensionUniqueName="[Restaurant_Data]" displayFolder="" count="0" memberValueDatatype="130" unbalanced="0"/>
    <cacheHierarchy uniqueName="[Restaurant_Data].[Order_Date]" caption="Order_Date" attribute="1" time="1" defaultMemberUniqueName="[Restaurant_Data].[Order_Date].[All]" allUniqueName="[Restaurant_Data].[Order_Date].[All]" dimensionUniqueName="[Restaurant_Data]" displayFolder="" count="0" memberValueDatatype="7" unbalanced="0"/>
    <cacheHierarchy uniqueName="[Restaurant_Data].[Order_Time]" caption="Order_Time" attribute="1" time="1" defaultMemberUniqueName="[Restaurant_Data].[Order_Time].[All]" allUniqueName="[Restaurant_Data].[Order_Time].[All]" dimensionUniqueName="[Restaurant_Data]" displayFolder="" count="0" memberValueDatatype="7" unbalanced="0"/>
    <cacheHierarchy uniqueName="[Restaurant_Data].[Customer_Name]" caption="Customer_Name" attribute="1" defaultMemberUniqueName="[Restaurant_Data].[Customer_Name].[All]" allUniqueName="[Restaurant_Data].[Customer_Name].[All]" dimensionUniqueName="[Restaurant_Data]" displayFolder="" count="0" memberValueDatatype="130" unbalanced="0"/>
    <cacheHierarchy uniqueName="[Restaurant_Data].[Food_Category]" caption="Food_Category" attribute="1" defaultMemberUniqueName="[Restaurant_Data].[Food_Category].[All]" allUniqueName="[Restaurant_Data].[Food_Category].[All]" dimensionUniqueName="[Restaurant_Data]" displayFolder="" count="2" memberValueDatatype="130" unbalanced="0">
      <fieldsUsage count="2">
        <fieldUsage x="-1"/>
        <fieldUsage x="2"/>
      </fieldsUsage>
    </cacheHierarchy>
    <cacheHierarchy uniqueName="[Restaurant_Data].[Item_Name]" caption="Item_Name" attribute="1" defaultMemberUniqueName="[Restaurant_Data].[Item_Name].[All]" allUniqueName="[Restaurant_Data].[Item_Name].[All]" dimensionUniqueName="[Restaurant_Data]" displayFolder="" count="0" memberValueDatatype="130" unbalanced="0"/>
    <cacheHierarchy uniqueName="[Restaurant_Data].[Quantity]" caption="Quantity" attribute="1" defaultMemberUniqueName="[Restaurant_Data].[Quantity].[All]" allUniqueName="[Restaurant_Data].[Quantity].[All]" dimensionUniqueName="[Restaurant_Data]" displayFolder="" count="0" memberValueDatatype="20" unbalanced="0"/>
    <cacheHierarchy uniqueName="[Restaurant_Data].[Unit_Price]" caption="Unit_Price" attribute="1" defaultMemberUniqueName="[Restaurant_Data].[Unit_Price].[All]" allUniqueName="[Restaurant_Data].[Unit_Price].[All]" dimensionUniqueName="[Restaurant_Data]" displayFolder="" count="0" memberValueDatatype="5" unbalanced="0"/>
    <cacheHierarchy uniqueName="[Restaurant_Data].[Total_Sales]" caption="Total_Sales" attribute="1" defaultMemberUniqueName="[Restaurant_Data].[Total_Sales].[All]" allUniqueName="[Restaurant_Data].[Total_Sales].[All]" dimensionUniqueName="[Restaurant_Data]" displayFolder="" count="0" memberValueDatatype="5" unbalanced="0"/>
    <cacheHierarchy uniqueName="[Restaurant_Data].[Delivery_Mode]" caption="Delivery_Mode" attribute="1" defaultMemberUniqueName="[Restaurant_Data].[Delivery_Mode].[All]" allUniqueName="[Restaurant_Data].[Delivery_Mode].[All]" dimensionUniqueName="[Restaurant_Data]" displayFolder="" count="2" memberValueDatatype="130" unbalanced="0"/>
    <cacheHierarchy uniqueName="[Restaurant_Data].[Payment_Method]" caption="Payment_Method" attribute="1" defaultMemberUniqueName="[Restaurant_Data].[Payment_Method].[All]" allUniqueName="[Restaurant_Data].[Payment_Method].[All]" dimensionUniqueName="[Restaurant_Data]" displayFolder="" count="2" memberValueDatatype="130" unbalanced="0">
      <fieldsUsage count="2">
        <fieldUsage x="-1"/>
        <fieldUsage x="0"/>
      </fieldsUsage>
    </cacheHierarchy>
    <cacheHierarchy uniqueName="[Restaurant_Data].[Customer_Rating]" caption="Customer_Rating" attribute="1" defaultMemberUniqueName="[Restaurant_Data].[Customer_Rating].[All]" allUniqueName="[Restaurant_Data].[Customer_Rating].[All]" dimensionUniqueName="[Restaurant_Data]" displayFolder="" count="2" memberValueDatatype="20" unbalanced="0"/>
    <cacheHierarchy uniqueName="[Restaurant_Data].[Order_Time (Hour)]" caption="Order_Time (Hour)" attribute="1" defaultMemberUniqueName="[Restaurant_Data].[Order_Time (Hour)].[All]" allUniqueName="[Restaurant_Data].[Order_Time (Hour)].[All]" dimensionUniqueName="[Restaurant_Data]" displayFolder="" count="0" memberValueDatatype="130" unbalanced="0"/>
    <cacheHierarchy uniqueName="[Restaurant_Data].[Order_Time (Minute)]" caption="Order_Time (Minute)" attribute="1" defaultMemberUniqueName="[Restaurant_Data].[Order_Time (Minute)].[All]" allUniqueName="[Restaurant_Data].[Order_Time (Minute)].[All]" dimensionUniqueName="[Restaurant_Data]" displayFolder="" count="0" memberValueDatatype="130" unbalanced="0"/>
    <cacheHierarchy uniqueName="[Restaurant_Data].[Order_Date (Month)]" caption="Order_Date (Month)" attribute="1" defaultMemberUniqueName="[Restaurant_Data].[Order_Date (Month)].[All]" allUniqueName="[Restaurant_Data].[Order_Date (Month)].[All]" dimensionUniqueName="[Restaurant_Data]" displayFolder="" count="0" memberValueDatatype="130" unbalanced="0"/>
    <cacheHierarchy uniqueName="[Restaurant_Data].[Order_Date (Month Index)]" caption="Order_Date (Month Index)" attribute="1" defaultMemberUniqueName="[Restaurant_Data].[Order_Date (Month Index)].[All]" allUniqueName="[Restaurant_Data].[Order_Date (Month Index)].[All]" dimensionUniqueName="[Restaurant_Data]" displayFolder="" count="0" memberValueDatatype="20" unbalanced="0" hidden="1"/>
    <cacheHierarchy uniqueName="[Measures].[__XL_Count Restaurant_Data]" caption="__XL_Count Restaurant_Data" measure="1" displayFolder="" measureGroup="Restaurant_Data" count="0" hidden="1"/>
    <cacheHierarchy uniqueName="[Measures].[__No measures defined]" caption="__No measures defined" measure="1" displayFolder="" count="0" hidden="1"/>
    <cacheHierarchy uniqueName="[Measures].[Sum of Total_Sales]" caption="Sum of Total_Sales" measure="1" displayFolder="" measureGroup="Restaurant_Data"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Restaurant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aurant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estaurant_Data" uniqueName="[Restaurant_Data]" caption="Restaurant_Data"/>
  </dimensions>
  <measureGroups count="1">
    <measureGroup name="Restaurant_Data" caption="Restaurant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Mounika" refreshedDate="46157.805078819445" backgroundQuery="1" createdVersion="8" refreshedVersion="8" minRefreshableVersion="3" recordCount="0" supportSubquery="1" supportAdvancedDrill="1" xr:uid="{8DC133A8-53D8-472F-96C5-E81BC3D04614}">
  <cacheSource type="external" connectionId="3"/>
  <cacheFields count="2">
    <cacheField name="[Restaurant_Data].[Food_Category].[Food_Category]" caption="Food_Category" numFmtId="0" hierarchy="4" level="1">
      <sharedItems count="6">
        <s v="Biryani"/>
        <s v="Burger"/>
        <s v="Dessert"/>
        <s v="Drinks"/>
        <s v="Pasta"/>
        <s v="Pizza"/>
      </sharedItems>
    </cacheField>
    <cacheField name="[Measures].[Sum of Quantity]" caption="Sum of Quantity" numFmtId="0" hierarchy="20" level="32767"/>
  </cacheFields>
  <cacheHierarchies count="21">
    <cacheHierarchy uniqueName="[Restaurant_Data].[Order_ID]" caption="Order_ID" attribute="1" defaultMemberUniqueName="[Restaurant_Data].[Order_ID].[All]" allUniqueName="[Restaurant_Data].[Order_ID].[All]" dimensionUniqueName="[Restaurant_Data]" displayFolder="" count="0" memberValueDatatype="130" unbalanced="0"/>
    <cacheHierarchy uniqueName="[Restaurant_Data].[Order_Date]" caption="Order_Date" attribute="1" time="1" defaultMemberUniqueName="[Restaurant_Data].[Order_Date].[All]" allUniqueName="[Restaurant_Data].[Order_Date].[All]" dimensionUniqueName="[Restaurant_Data]" displayFolder="" count="0" memberValueDatatype="7" unbalanced="0"/>
    <cacheHierarchy uniqueName="[Restaurant_Data].[Order_Time]" caption="Order_Time" attribute="1" time="1" defaultMemberUniqueName="[Restaurant_Data].[Order_Time].[All]" allUniqueName="[Restaurant_Data].[Order_Time].[All]" dimensionUniqueName="[Restaurant_Data]" displayFolder="" count="0" memberValueDatatype="7" unbalanced="0"/>
    <cacheHierarchy uniqueName="[Restaurant_Data].[Customer_Name]" caption="Customer_Name" attribute="1" defaultMemberUniqueName="[Restaurant_Data].[Customer_Name].[All]" allUniqueName="[Restaurant_Data].[Customer_Name].[All]" dimensionUniqueName="[Restaurant_Data]" displayFolder="" count="0" memberValueDatatype="130" unbalanced="0"/>
    <cacheHierarchy uniqueName="[Restaurant_Data].[Food_Category]" caption="Food_Category" attribute="1" defaultMemberUniqueName="[Restaurant_Data].[Food_Category].[All]" allUniqueName="[Restaurant_Data].[Food_Category].[All]" dimensionUniqueName="[Restaurant_Data]" displayFolder="" count="2" memberValueDatatype="130" unbalanced="0">
      <fieldsUsage count="2">
        <fieldUsage x="-1"/>
        <fieldUsage x="0"/>
      </fieldsUsage>
    </cacheHierarchy>
    <cacheHierarchy uniqueName="[Restaurant_Data].[Item_Name]" caption="Item_Name" attribute="1" defaultMemberUniqueName="[Restaurant_Data].[Item_Name].[All]" allUniqueName="[Restaurant_Data].[Item_Name].[All]" dimensionUniqueName="[Restaurant_Data]" displayFolder="" count="0" memberValueDatatype="130" unbalanced="0"/>
    <cacheHierarchy uniqueName="[Restaurant_Data].[Quantity]" caption="Quantity" attribute="1" defaultMemberUniqueName="[Restaurant_Data].[Quantity].[All]" allUniqueName="[Restaurant_Data].[Quantity].[All]" dimensionUniqueName="[Restaurant_Data]" displayFolder="" count="0" memberValueDatatype="20" unbalanced="0"/>
    <cacheHierarchy uniqueName="[Restaurant_Data].[Unit_Price]" caption="Unit_Price" attribute="1" defaultMemberUniqueName="[Restaurant_Data].[Unit_Price].[All]" allUniqueName="[Restaurant_Data].[Unit_Price].[All]" dimensionUniqueName="[Restaurant_Data]" displayFolder="" count="0" memberValueDatatype="5" unbalanced="0"/>
    <cacheHierarchy uniqueName="[Restaurant_Data].[Total_Sales]" caption="Total_Sales" attribute="1" defaultMemberUniqueName="[Restaurant_Data].[Total_Sales].[All]" allUniqueName="[Restaurant_Data].[Total_Sales].[All]" dimensionUniqueName="[Restaurant_Data]" displayFolder="" count="0" memberValueDatatype="5" unbalanced="0"/>
    <cacheHierarchy uniqueName="[Restaurant_Data].[Delivery_Mode]" caption="Delivery_Mode" attribute="1" defaultMemberUniqueName="[Restaurant_Data].[Delivery_Mode].[All]" allUniqueName="[Restaurant_Data].[Delivery_Mode].[All]" dimensionUniqueName="[Restaurant_Data]" displayFolder="" count="2" memberValueDatatype="130" unbalanced="0"/>
    <cacheHierarchy uniqueName="[Restaurant_Data].[Payment_Method]" caption="Payment_Method" attribute="1" defaultMemberUniqueName="[Restaurant_Data].[Payment_Method].[All]" allUniqueName="[Restaurant_Data].[Payment_Method].[All]" dimensionUniqueName="[Restaurant_Data]" displayFolder="" count="2" memberValueDatatype="130" unbalanced="0"/>
    <cacheHierarchy uniqueName="[Restaurant_Data].[Customer_Rating]" caption="Customer_Rating" attribute="1" defaultMemberUniqueName="[Restaurant_Data].[Customer_Rating].[All]" allUniqueName="[Restaurant_Data].[Customer_Rating].[All]" dimensionUniqueName="[Restaurant_Data]" displayFolder="" count="2" memberValueDatatype="20" unbalanced="0"/>
    <cacheHierarchy uniqueName="[Restaurant_Data].[Order_Time (Hour)]" caption="Order_Time (Hour)" attribute="1" defaultMemberUniqueName="[Restaurant_Data].[Order_Time (Hour)].[All]" allUniqueName="[Restaurant_Data].[Order_Time (Hour)].[All]" dimensionUniqueName="[Restaurant_Data]" displayFolder="" count="0" memberValueDatatype="130" unbalanced="0"/>
    <cacheHierarchy uniqueName="[Restaurant_Data].[Order_Time (Minute)]" caption="Order_Time (Minute)" attribute="1" defaultMemberUniqueName="[Restaurant_Data].[Order_Time (Minute)].[All]" allUniqueName="[Restaurant_Data].[Order_Time (Minute)].[All]" dimensionUniqueName="[Restaurant_Data]" displayFolder="" count="0" memberValueDatatype="130" unbalanced="0"/>
    <cacheHierarchy uniqueName="[Restaurant_Data].[Order_Date (Month)]" caption="Order_Date (Month)" attribute="1" defaultMemberUniqueName="[Restaurant_Data].[Order_Date (Month)].[All]" allUniqueName="[Restaurant_Data].[Order_Date (Month)].[All]" dimensionUniqueName="[Restaurant_Data]" displayFolder="" count="0" memberValueDatatype="130" unbalanced="0"/>
    <cacheHierarchy uniqueName="[Restaurant_Data].[Order_Date (Month Index)]" caption="Order_Date (Month Index)" attribute="1" defaultMemberUniqueName="[Restaurant_Data].[Order_Date (Month Index)].[All]" allUniqueName="[Restaurant_Data].[Order_Date (Month Index)].[All]" dimensionUniqueName="[Restaurant_Data]" displayFolder="" count="0" memberValueDatatype="20" unbalanced="0" hidden="1"/>
    <cacheHierarchy uniqueName="[Measures].[__XL_Count Restaurant_Data]" caption="__XL_Count Restaurant_Data" measure="1" displayFolder="" measureGroup="Restaurant_Data" count="0" hidden="1"/>
    <cacheHierarchy uniqueName="[Measures].[__No measures defined]" caption="__No measures defined" measure="1" displayFolder="" count="0" hidden="1"/>
    <cacheHierarchy uniqueName="[Measures].[Sum of Total_Sales]" caption="Sum of Total_Sales" measure="1" displayFolder="" measureGroup="Restaurant_Data"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Restaurant_Data"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aurant_Data"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estaurant_Data" uniqueName="[Restaurant_Data]" caption="Restaurant_Data"/>
  </dimensions>
  <measureGroups count="1">
    <measureGroup name="Restaurant_Data" caption="Restaurant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Mounika" refreshedDate="46157.742402199074" backgroundQuery="1" createdVersion="3" refreshedVersion="8" minRefreshableVersion="3" recordCount="0" supportSubquery="1" supportAdvancedDrill="1" xr:uid="{B1EE525F-1210-4424-929F-AF7679212100}">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Restaurant_Data].[Order_ID]" caption="Order_ID" attribute="1" defaultMemberUniqueName="[Restaurant_Data].[Order_ID].[All]" allUniqueName="[Restaurant_Data].[Order_ID].[All]" dimensionUniqueName="[Restaurant_Data]" displayFolder="" count="0" memberValueDatatype="130" unbalanced="0"/>
    <cacheHierarchy uniqueName="[Restaurant_Data].[Order_Date]" caption="Order_Date" attribute="1" time="1" defaultMemberUniqueName="[Restaurant_Data].[Order_Date].[All]" allUniqueName="[Restaurant_Data].[Order_Date].[All]" dimensionUniqueName="[Restaurant_Data]" displayFolder="" count="0" memberValueDatatype="7" unbalanced="0"/>
    <cacheHierarchy uniqueName="[Restaurant_Data].[Order_Time]" caption="Order_Time" attribute="1" time="1" defaultMemberUniqueName="[Restaurant_Data].[Order_Time].[All]" allUniqueName="[Restaurant_Data].[Order_Time].[All]" dimensionUniqueName="[Restaurant_Data]" displayFolder="" count="0" memberValueDatatype="7" unbalanced="0"/>
    <cacheHierarchy uniqueName="[Restaurant_Data].[Customer_Name]" caption="Customer_Name" attribute="1" defaultMemberUniqueName="[Restaurant_Data].[Customer_Name].[All]" allUniqueName="[Restaurant_Data].[Customer_Name].[All]" dimensionUniqueName="[Restaurant_Data]" displayFolder="" count="0" memberValueDatatype="130" unbalanced="0"/>
    <cacheHierarchy uniqueName="[Restaurant_Data].[Food_Category]" caption="Food_Category" attribute="1" defaultMemberUniqueName="[Restaurant_Data].[Food_Category].[All]" allUniqueName="[Restaurant_Data].[Food_Category].[All]" dimensionUniqueName="[Restaurant_Data]" displayFolder="" count="2" memberValueDatatype="130" unbalanced="0"/>
    <cacheHierarchy uniqueName="[Restaurant_Data].[Item_Name]" caption="Item_Name" attribute="1" defaultMemberUniqueName="[Restaurant_Data].[Item_Name].[All]" allUniqueName="[Restaurant_Data].[Item_Name].[All]" dimensionUniqueName="[Restaurant_Data]" displayFolder="" count="0" memberValueDatatype="130" unbalanced="0"/>
    <cacheHierarchy uniqueName="[Restaurant_Data].[Quantity]" caption="Quantity" attribute="1" defaultMemberUniqueName="[Restaurant_Data].[Quantity].[All]" allUniqueName="[Restaurant_Data].[Quantity].[All]" dimensionUniqueName="[Restaurant_Data]" displayFolder="" count="0" memberValueDatatype="20" unbalanced="0"/>
    <cacheHierarchy uniqueName="[Restaurant_Data].[Unit_Price]" caption="Unit_Price" attribute="1" defaultMemberUniqueName="[Restaurant_Data].[Unit_Price].[All]" allUniqueName="[Restaurant_Data].[Unit_Price].[All]" dimensionUniqueName="[Restaurant_Data]" displayFolder="" count="0" memberValueDatatype="5" unbalanced="0"/>
    <cacheHierarchy uniqueName="[Restaurant_Data].[Total_Sales]" caption="Total_Sales" attribute="1" defaultMemberUniqueName="[Restaurant_Data].[Total_Sales].[All]" allUniqueName="[Restaurant_Data].[Total_Sales].[All]" dimensionUniqueName="[Restaurant_Data]" displayFolder="" count="0" memberValueDatatype="5" unbalanced="0"/>
    <cacheHierarchy uniqueName="[Restaurant_Data].[Delivery_Mode]" caption="Delivery_Mode" attribute="1" defaultMemberUniqueName="[Restaurant_Data].[Delivery_Mode].[All]" allUniqueName="[Restaurant_Data].[Delivery_Mode].[All]" dimensionUniqueName="[Restaurant_Data]" displayFolder="" count="2" memberValueDatatype="130" unbalanced="0"/>
    <cacheHierarchy uniqueName="[Restaurant_Data].[Payment_Method]" caption="Payment_Method" attribute="1" defaultMemberUniqueName="[Restaurant_Data].[Payment_Method].[All]" allUniqueName="[Restaurant_Data].[Payment_Method].[All]" dimensionUniqueName="[Restaurant_Data]" displayFolder="" count="2" memberValueDatatype="130" unbalanced="0"/>
    <cacheHierarchy uniqueName="[Restaurant_Data].[Customer_Rating]" caption="Customer_Rating" attribute="1" defaultMemberUniqueName="[Restaurant_Data].[Customer_Rating].[All]" allUniqueName="[Restaurant_Data].[Customer_Rating].[All]" dimensionUniqueName="[Restaurant_Data]" displayFolder="" count="2" memberValueDatatype="20" unbalanced="0"/>
    <cacheHierarchy uniqueName="[Restaurant_Data].[Order_Time (Hour)]" caption="Order_Time (Hour)" attribute="1" defaultMemberUniqueName="[Restaurant_Data].[Order_Time (Hour)].[All]" allUniqueName="[Restaurant_Data].[Order_Time (Hour)].[All]" dimensionUniqueName="[Restaurant_Data]" displayFolder="" count="0" memberValueDatatype="130" unbalanced="0"/>
    <cacheHierarchy uniqueName="[Restaurant_Data].[Order_Time (Minute)]" caption="Order_Time (Minute)" attribute="1" defaultMemberUniqueName="[Restaurant_Data].[Order_Time (Minute)].[All]" allUniqueName="[Restaurant_Data].[Order_Time (Minute)].[All]" dimensionUniqueName="[Restaurant_Data]" displayFolder="" count="0" memberValueDatatype="130" unbalanced="0"/>
    <cacheHierarchy uniqueName="[Restaurant_Data].[Order_Date (Month)]" caption="Order_Date (Month)" attribute="1" defaultMemberUniqueName="[Restaurant_Data].[Order_Date (Month)].[All]" allUniqueName="[Restaurant_Data].[Order_Date (Month)].[All]" dimensionUniqueName="[Restaurant_Data]" displayFolder="" count="0" memberValueDatatype="130" unbalanced="0"/>
    <cacheHierarchy uniqueName="[Restaurant_Data].[Order_Date (Month Index)]" caption="Order_Date (Month Index)" attribute="1" defaultMemberUniqueName="[Restaurant_Data].[Order_Date (Month Index)].[All]" allUniqueName="[Restaurant_Data].[Order_Date (Month Index)].[All]" dimensionUniqueName="[Restaurant_Data]" displayFolder="" count="0" memberValueDatatype="20" unbalanced="0" hidden="1"/>
    <cacheHierarchy uniqueName="[Measures].[__XL_Count Restaurant_Data]" caption="__XL_Count Restaurant_Data" measure="1" displayFolder="" measureGroup="Restaurant_Data" count="0" hidden="1"/>
    <cacheHierarchy uniqueName="[Measures].[__No measures defined]" caption="__No measures defined" measure="1" displayFolder="" count="0" hidden="1"/>
    <cacheHierarchy uniqueName="[Measures].[Sum of Total_Sales]" caption="Sum of Total_Sales" measure="1" displayFolder="" measureGroup="Restaurant_Data"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Restaurant_Data"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aurant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870963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21C177-309D-4633-A957-F6390625CE23}"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1:U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Quantity"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BA4C67-9D4A-4B57-B153-6E58FC24BD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D1A17-53F6-422C-A982-66B2B174EA5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I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B05677-5EB1-4770-927D-E24B40D0631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O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D51D5D-8A5F-422A-BBA8-FB66434A0FC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F17" firstHeaderRow="0" firstDataRow="1" firstDataCol="1"/>
  <pivotFields count="6">
    <pivotField axis="axisRow" allDrilled="1" subtotalTop="0" showAll="0" dataSourceSort="1" defaultSubtotal="0" defaultAttributeDrillState="1">
      <items count="4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s>
    </pivotField>
    <pivotField axis="axisRow" allDrilled="1" subtotalTop="0" showAll="0" dataSourceSort="1" defaultSubtotal="0">
      <items count="1">
        <item x="0" e="0"/>
      </items>
    </pivotField>
    <pivotField axis="axisRow" allDrilled="1" subtotalTop="0" showAll="0" dataSourceSort="1" defaultSubtotal="0">
      <items count="15">
        <item x="0" e="0"/>
        <item x="1" e="0"/>
        <item x="2" e="0"/>
        <item x="3" e="0"/>
        <item x="4" e="0"/>
        <item x="5" e="0"/>
        <item x="6" e="0"/>
        <item x="7" e="0"/>
        <item x="8" e="0"/>
        <item x="9" e="0"/>
        <item x="10" e="0"/>
        <item x="11" e="0"/>
        <item x="12" e="0"/>
        <item x="13" e="0"/>
        <item x="14" e="0"/>
      </items>
    </pivotField>
    <pivotField dataField="1" subtotalTop="0" showAll="0" defaultSubtotal="0"/>
    <pivotField dataField="1" subtotalTop="0" showAll="0" defaultSubtotal="0"/>
    <pivotField allDrilled="1" subtotalTop="0" showAll="0" dataSourceSort="1" defaultSubtotal="0" defaultAttributeDrillState="1"/>
  </pivotFields>
  <rowFields count="3">
    <field x="2"/>
    <field x="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Total_Sales" fld="3" baseField="0" baseItem="0"/>
    <dataField name="Count of Order_ID" fld="4"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2"/>
    <rowHierarchyUsage hierarchyUsage="1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7007BB-DD39-4F26-A62E-87574FC46411}"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1:R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74A998-B74B-464E-9572-EFE40ADDEE1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L8" firstHeaderRow="1" firstDataRow="1" firstDataCol="1"/>
  <pivotFields count="4">
    <pivotField axis="axisRow" allDrilled="1" subtotalTop="0" showAll="0" dataSourceSort="1" defaultSubtotal="0" defaultAttributeDrillState="1">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s>
    </pivotField>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2">
    <field x="1"/>
    <field x="0"/>
  </rowFields>
  <rowItems count="7">
    <i>
      <x/>
    </i>
    <i>
      <x v="1"/>
    </i>
    <i>
      <x v="2"/>
    </i>
    <i>
      <x v="3"/>
    </i>
    <i>
      <x v="4"/>
    </i>
    <i>
      <x v="5"/>
    </i>
    <i t="grand">
      <x/>
    </i>
  </rowItems>
  <colItems count="1">
    <i/>
  </colItems>
  <dataFields count="1">
    <dataField name="Sum of Total_Sales"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CE15F79-598F-4F94-83E6-315651828FD1}" autoFormatId="16" applyNumberFormats="0" applyBorderFormats="0" applyFontFormats="0" applyPatternFormats="0" applyAlignmentFormats="0" applyWidthHeightFormats="0">
  <queryTableRefresh nextId="17">
    <queryTableFields count="16">
      <queryTableField id="1" name="Order_ID" tableColumnId="1"/>
      <queryTableField id="2" name="Order_Date" tableColumnId="2"/>
      <queryTableField id="3" name="Order_Time" tableColumnId="3"/>
      <queryTableField id="4" name="Customer_Name" tableColumnId="4"/>
      <queryTableField id="5" name="Food_Category" tableColumnId="5"/>
      <queryTableField id="6" name="Item_Name" tableColumnId="6"/>
      <queryTableField id="7" name="Quantity" tableColumnId="7"/>
      <queryTableField id="8" name="Unit_Price" tableColumnId="8"/>
      <queryTableField id="9" name="Total_Sales" tableColumnId="9"/>
      <queryTableField id="10" name="Delivery_Mode" tableColumnId="10"/>
      <queryTableField id="11" name="Payment_Method" tableColumnId="11"/>
      <queryTableField id="12" name="Customer_Rating" tableColumnId="12"/>
      <queryTableField id="13" name="Order_Time (Hour)" tableColumnId="13"/>
      <queryTableField id="14" name="Order_Time (Minute)" tableColumnId="14"/>
      <queryTableField id="15" name="Order_Date (Month Index)" tableColumnId="15"/>
      <queryTableField id="16" name="Order_Date (Month)" tableColumnId="16"/>
    </queryTableFields>
  </queryTableRefresh>
  <extLst>
    <ext xmlns:x15="http://schemas.microsoft.com/office/spreadsheetml/2010/11/main" uri="{883FBD77-0823-4a55-B5E3-86C4891E6966}">
      <x15:queryTable sourceDataName="Query - Restaurant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Category" xr10:uid="{174AEA55-5BC6-4B41-BD42-C6AC2C274BCA}" sourceName="[Restaurant_Data].[Food_Category]">
  <pivotTables>
    <pivotTable tabId="1" name="PivotTable1"/>
    <pivotTable tabId="1" name="PivotTable2"/>
    <pivotTable tabId="1" name="PivotTable3"/>
    <pivotTable tabId="1" name="PivotTable4"/>
    <pivotTable tabId="1" name="PivotTable5"/>
    <pivotTable tabId="1" name="PivotTable6"/>
    <pivotTable tabId="1" name="PivotTable7"/>
  </pivotTables>
  <data>
    <olap pivotCacheId="2087096374">
      <levels count="2">
        <level uniqueName="[Restaurant_Data].[Food_Category].[(All)]" sourceCaption="(All)" count="0"/>
        <level uniqueName="[Restaurant_Data].[Food_Category].[Food_Category]" sourceCaption="Food_Category" count="6">
          <ranges>
            <range startItem="0">
              <i n="[Restaurant_Data].[Food_Category].&amp;[Biryani]" c="Biryani"/>
              <i n="[Restaurant_Data].[Food_Category].&amp;[Burger]" c="Burger"/>
              <i n="[Restaurant_Data].[Food_Category].&amp;[Dessert]" c="Dessert"/>
              <i n="[Restaurant_Data].[Food_Category].&amp;[Drinks]" c="Drinks"/>
              <i n="[Restaurant_Data].[Food_Category].&amp;[Pasta]" c="Pasta"/>
              <i n="[Restaurant_Data].[Food_Category].&amp;[Pizza]" c="Pizza"/>
            </range>
          </ranges>
        </level>
      </levels>
      <selections count="1">
        <selection n="[Restaurant_Data].[Food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Mode" xr10:uid="{1AE2ADA5-D0E8-47F2-9EB5-49C9EDFC1EB2}" sourceName="[Restaurant_Data].[Delivery_Mode]">
  <pivotTables>
    <pivotTable tabId="1" name="PivotTable1"/>
    <pivotTable tabId="1" name="PivotTable2"/>
    <pivotTable tabId="1" name="PivotTable3"/>
    <pivotTable tabId="1" name="PivotTable4"/>
    <pivotTable tabId="1" name="PivotTable5"/>
    <pivotTable tabId="1" name="PivotTable6"/>
    <pivotTable tabId="1" name="PivotTable7"/>
  </pivotTables>
  <data>
    <olap pivotCacheId="2087096374">
      <levels count="2">
        <level uniqueName="[Restaurant_Data].[Delivery_Mode].[(All)]" sourceCaption="(All)" count="0"/>
        <level uniqueName="[Restaurant_Data].[Delivery_Mode].[Delivery_Mode]" sourceCaption="Delivery_Mode" count="3">
          <ranges>
            <range startItem="0">
              <i n="[Restaurant_Data].[Delivery_Mode].&amp;[Delivery]" c="Delivery"/>
              <i n="[Restaurant_Data].[Delivery_Mode].&amp;[Dine-In]" c="Dine-In"/>
              <i n="[Restaurant_Data].[Delivery_Mode].&amp;[Takeaway]" c="Takeaway"/>
            </range>
          </ranges>
        </level>
      </levels>
      <selections count="1">
        <selection n="[Restaurant_Data].[Delivery_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85CD1B9-9B52-4044-B15A-F1222D0762FA}" sourceName="[Restaurant_Data].[Payment_Method]">
  <pivotTables>
    <pivotTable tabId="1" name="PivotTable1"/>
    <pivotTable tabId="1" name="PivotTable2"/>
    <pivotTable tabId="1" name="PivotTable3"/>
    <pivotTable tabId="1" name="PivotTable4"/>
    <pivotTable tabId="1" name="PivotTable5"/>
    <pivotTable tabId="1" name="PivotTable6"/>
    <pivotTable tabId="1" name="PivotTable7"/>
  </pivotTables>
  <data>
    <olap pivotCacheId="2087096374">
      <levels count="2">
        <level uniqueName="[Restaurant_Data].[Payment_Method].[(All)]" sourceCaption="(All)" count="0"/>
        <level uniqueName="[Restaurant_Data].[Payment_Method].[Payment_Method]" sourceCaption="Payment_Method" count="3">
          <ranges>
            <range startItem="0">
              <i n="[Restaurant_Data].[Payment_Method].&amp;[Card]" c="Card"/>
              <i n="[Restaurant_Data].[Payment_Method].&amp;[Cash]" c="Cash"/>
              <i n="[Restaurant_Data].[Payment_Method].&amp;[UPI]" c="UPI"/>
            </range>
          </ranges>
        </level>
      </levels>
      <selections count="1">
        <selection n="[Restaurant_Data].[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ating" xr10:uid="{B0FC7150-4A18-4B99-851D-C1BA10BEB5DF}" sourceName="[Restaurant_Data].[Customer_Rating]">
  <pivotTables>
    <pivotTable tabId="1" name="PivotTable1"/>
    <pivotTable tabId="1" name="PivotTable2"/>
    <pivotTable tabId="1" name="PivotTable3"/>
    <pivotTable tabId="1" name="PivotTable4"/>
    <pivotTable tabId="1" name="PivotTable5"/>
    <pivotTable tabId="1" name="PivotTable6"/>
    <pivotTable tabId="1" name="PivotTable7"/>
  </pivotTables>
  <data>
    <olap pivotCacheId="2087096374">
      <levels count="2">
        <level uniqueName="[Restaurant_Data].[Customer_Rating].[(All)]" sourceCaption="(All)" count="0"/>
        <level uniqueName="[Restaurant_Data].[Customer_Rating].[Customer_Rating]" sourceCaption="Customer_Rating" count="5">
          <ranges>
            <range startItem="0">
              <i n="[Restaurant_Data].[Customer_Rating].&amp;[1]" c="1"/>
              <i n="[Restaurant_Data].[Customer_Rating].&amp;[2]" c="2"/>
              <i n="[Restaurant_Data].[Customer_Rating].&amp;[3]" c="3"/>
              <i n="[Restaurant_Data].[Customer_Rating].&amp;[4]" c="4"/>
              <i n="[Restaurant_Data].[Customer_Rating].&amp;[5]" c="5"/>
            </range>
          </ranges>
        </level>
      </levels>
      <selections count="1">
        <selection n="[Restaurant_Data].[Customer_Rat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_Category" xr10:uid="{EC95E706-D75A-4E21-A147-271948917424}" cache="Slicer_Food_Category" caption="Food_Category" level="1" rowHeight="234950"/>
  <slicer name="Delivery_Mode" xr10:uid="{EFA22B87-FBD8-45B4-9329-E6EFCA5D5D03}" cache="Slicer_Delivery_Mode" caption="Delivery_Mode" level="1" rowHeight="234950"/>
  <slicer name="Payment_Method" xr10:uid="{B01E622B-739D-42F9-AB6E-8DECC5630372}" cache="Slicer_Payment_Method" caption="Payment_Method" level="1" rowHeight="234950"/>
  <slicer name="Customer_Rating" xr10:uid="{63D18C92-B300-4577-8676-A69D2C830F48}" cache="Slicer_Customer_Rating" caption="Customer_Rating"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_Category 2" xr10:uid="{B3B3FB42-4D54-4823-A5C8-A5D11B261BC1}" cache="Slicer_Food_Category" caption="Food_Category" columnCount="3" level="1" style="SlicerStyleDark2 2" rowHeight="792000"/>
  <slicer name="Delivery_Mode 2" xr10:uid="{D8B3ECA5-4785-4615-AC85-FA3C8C9F6089}" cache="Slicer_Delivery_Mode" caption="Delivery_Mode" columnCount="3" level="1" style="SlicerStyleDark6 2" rowHeight="900000"/>
  <slicer name="Payment_Method 2" xr10:uid="{F4195224-DDA2-4DC6-8905-E7E95AB2E0E4}" cache="Slicer_Payment_Method" caption="Payment_Method" columnCount="3" level="1" style="SlicerStyleDark1 2" rowHeight="936000"/>
  <slicer name="Customer_Rating 2" xr10:uid="{52CC97AD-24C2-4AFF-8A4B-E934FE092BE3}" cache="Slicer_Customer_Rating" caption="Customer_Rating" columnCount="3" level="1" style="SlicerStyleDark4 2" rowHeight="72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32797-CAA1-4E00-8CEA-61C38FF972AE}" name="Restaurant_Data" displayName="Restaurant_Data" ref="A1:P602" tableType="queryTable" totalsRowCount="1">
  <autoFilter ref="A1:P601" xr:uid="{11932797-CAA1-4E00-8CEA-61C38FF972AE}"/>
  <tableColumns count="16">
    <tableColumn id="1" xr3:uid="{E2A65E37-88A8-410F-A826-87889F9941C6}" uniqueName="1" name="Order_ID" totalsRowFunction="custom" queryTableFieldId="1" dataDxfId="9">
      <totalsRowFormula>COUNTA(A2:A600)</totalsRowFormula>
    </tableColumn>
    <tableColumn id="2" xr3:uid="{CB129CF5-A9D5-4E44-8ABA-78FC618F16CD}" uniqueName="2" name="Order_Date" queryTableFieldId="2" dataDxfId="8" totalsRowDxfId="7"/>
    <tableColumn id="3" xr3:uid="{0867727A-35FC-405E-B3BD-9B0EEAD66ED9}" uniqueName="3" name="Order_Time" queryTableFieldId="3" dataDxfId="6" totalsRowDxfId="5"/>
    <tableColumn id="4" xr3:uid="{AB99448A-23E7-4844-B2C9-4C5B3CE5593F}" uniqueName="4" name="Customer_Name" queryTableFieldId="4" dataDxfId="4"/>
    <tableColumn id="5" xr3:uid="{84745BA7-F9D4-4722-8EA7-BCC0107E2BC7}" uniqueName="5" name="Food_Category" queryTableFieldId="5" dataDxfId="3"/>
    <tableColumn id="6" xr3:uid="{AB057E5E-6C57-4481-94BC-DA85AC31844D}" uniqueName="6" name="Item_Name" queryTableFieldId="6" dataDxfId="2"/>
    <tableColumn id="7" xr3:uid="{5FCCB8F2-902F-4C1E-B619-D7B6694381FC}" uniqueName="7" name="Quantity" totalsRowFunction="custom" queryTableFieldId="7">
      <totalsRowFormula>SUM(G2:G600)</totalsRowFormula>
    </tableColumn>
    <tableColumn id="8" xr3:uid="{FB0C715C-B7E0-4600-A85B-7B6F76C907E4}" uniqueName="8" name="Unit_Price" queryTableFieldId="8"/>
    <tableColumn id="9" xr3:uid="{A658D873-2425-4F4B-8334-CC77FC7292CF}" uniqueName="9" name="Total_Sales" totalsRowFunction="custom" queryTableFieldId="9">
      <totalsRowFormula>SUM(I2:I600)</totalsRowFormula>
    </tableColumn>
    <tableColumn id="10" xr3:uid="{2E7067F8-E4E5-47CD-B038-F32EED7E8E5F}" uniqueName="10" name="Delivery_Mode" queryTableFieldId="10" dataDxfId="1"/>
    <tableColumn id="11" xr3:uid="{51827004-BD3B-4BB0-B66B-03EA770ED4E2}" uniqueName="11" name="Payment_Method" queryTableFieldId="11" dataDxfId="0"/>
    <tableColumn id="12" xr3:uid="{49AB7036-58E4-49F9-9713-E798281BEDA7}" uniqueName="12" name="Customer_Rating" totalsRowFunction="custom" queryTableFieldId="12">
      <totalsRowFormula>AVERAGE(L2:L600)</totalsRowFormula>
    </tableColumn>
    <tableColumn id="13" xr3:uid="{DBA9BDB3-4121-4577-AB17-B7A2FAD0047A}" uniqueName="13" name="Order_Time (Hour)" queryTableFieldId="13"/>
    <tableColumn id="14" xr3:uid="{810745B5-3E25-4370-A3D9-078D94DD0A1E}" uniqueName="14" name="Order_Time (Minute)" queryTableFieldId="14"/>
    <tableColumn id="15" xr3:uid="{51AC9DA3-BFAE-402D-94B3-56FF59F216BE}" uniqueName="15" name="Order_Date (Month Index)" queryTableFieldId="15"/>
    <tableColumn id="16" xr3:uid="{6B40D82F-64D8-4CF6-9D57-C6F3B4239737}" uniqueName="16" name="Order_Date (Month)"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8ADE-AF44-431C-A24A-3D648BA99A3F}">
  <dimension ref="A1:U17"/>
  <sheetViews>
    <sheetView tabSelected="1" zoomScale="70" workbookViewId="0">
      <selection activeCell="S44" sqref="S44"/>
    </sheetView>
  </sheetViews>
  <sheetFormatPr defaultRowHeight="14.4" x14ac:dyDescent="0.3"/>
  <cols>
    <col min="1" max="1" width="18.88671875" bestFit="1" customWidth="1"/>
    <col min="2" max="2" width="24.33203125" bestFit="1" customWidth="1"/>
    <col min="4" max="4" width="18.88671875" bestFit="1" customWidth="1"/>
    <col min="5" max="5" width="24.33203125" bestFit="1" customWidth="1"/>
    <col min="6" max="6" width="22.5546875" bestFit="1" customWidth="1"/>
    <col min="8" max="8" width="18.88671875" bestFit="1" customWidth="1"/>
    <col min="9" max="9" width="22.5546875" bestFit="1" customWidth="1"/>
    <col min="11" max="11" width="18.88671875" bestFit="1" customWidth="1"/>
    <col min="12" max="12" width="24.33203125" bestFit="1" customWidth="1"/>
    <col min="14" max="14" width="18.88671875" bestFit="1" customWidth="1"/>
    <col min="15" max="15" width="22.5546875" bestFit="1" customWidth="1"/>
    <col min="17" max="17" width="18.88671875" bestFit="1" customWidth="1"/>
    <col min="18" max="18" width="22.5546875" bestFit="1" customWidth="1"/>
    <col min="20" max="20" width="18.88671875" bestFit="1" customWidth="1"/>
    <col min="21" max="21" width="19.88671875" bestFit="1" customWidth="1"/>
  </cols>
  <sheetData>
    <row r="1" spans="1:21" x14ac:dyDescent="0.3">
      <c r="A1" s="3" t="s">
        <v>1669</v>
      </c>
      <c r="B1" t="s">
        <v>1671</v>
      </c>
      <c r="D1" s="3" t="s">
        <v>1669</v>
      </c>
      <c r="E1" t="s">
        <v>1671</v>
      </c>
      <c r="F1" t="s">
        <v>1689</v>
      </c>
      <c r="H1" s="3" t="s">
        <v>1669</v>
      </c>
      <c r="I1" t="s">
        <v>1689</v>
      </c>
      <c r="K1" s="3" t="s">
        <v>1669</v>
      </c>
      <c r="L1" t="s">
        <v>1671</v>
      </c>
      <c r="N1" s="3" t="s">
        <v>1669</v>
      </c>
      <c r="O1" t="s">
        <v>1689</v>
      </c>
      <c r="Q1" s="3" t="s">
        <v>1669</v>
      </c>
      <c r="R1" t="s">
        <v>1689</v>
      </c>
      <c r="T1" s="3" t="s">
        <v>1669</v>
      </c>
      <c r="U1" t="s">
        <v>1698</v>
      </c>
    </row>
    <row r="2" spans="1:21" x14ac:dyDescent="0.3">
      <c r="A2" s="4" t="s">
        <v>35</v>
      </c>
      <c r="B2">
        <v>11022.6</v>
      </c>
      <c r="D2" s="4" t="s">
        <v>1685</v>
      </c>
      <c r="E2">
        <v>4603.63</v>
      </c>
      <c r="F2">
        <v>40</v>
      </c>
      <c r="H2" s="4" t="s">
        <v>16</v>
      </c>
      <c r="I2">
        <v>221</v>
      </c>
      <c r="K2" s="4" t="s">
        <v>1694</v>
      </c>
      <c r="L2">
        <v>9539.86</v>
      </c>
      <c r="N2" s="4">
        <v>1</v>
      </c>
      <c r="O2">
        <v>133</v>
      </c>
      <c r="Q2" s="4" t="s">
        <v>36</v>
      </c>
      <c r="R2">
        <v>203</v>
      </c>
      <c r="T2" s="4" t="s">
        <v>35</v>
      </c>
      <c r="U2">
        <v>412</v>
      </c>
    </row>
    <row r="3" spans="1:21" x14ac:dyDescent="0.3">
      <c r="A3" s="4" t="s">
        <v>14</v>
      </c>
      <c r="B3">
        <v>7749.94</v>
      </c>
      <c r="D3" s="4" t="s">
        <v>1675</v>
      </c>
      <c r="E3">
        <v>3893.83</v>
      </c>
      <c r="F3">
        <v>43</v>
      </c>
      <c r="H3" s="4" t="s">
        <v>1205</v>
      </c>
      <c r="I3">
        <v>179</v>
      </c>
      <c r="K3" s="4" t="s">
        <v>1692</v>
      </c>
      <c r="L3">
        <v>9159.5400000000009</v>
      </c>
      <c r="N3" s="4">
        <v>2</v>
      </c>
      <c r="O3">
        <v>121</v>
      </c>
      <c r="Q3" s="4" t="s">
        <v>481</v>
      </c>
      <c r="R3">
        <v>184</v>
      </c>
      <c r="T3" s="4" t="s">
        <v>14</v>
      </c>
      <c r="U3">
        <v>279</v>
      </c>
    </row>
    <row r="4" spans="1:21" x14ac:dyDescent="0.3">
      <c r="A4" s="4" t="s">
        <v>31</v>
      </c>
      <c r="B4">
        <v>10387.74</v>
      </c>
      <c r="D4" s="4" t="s">
        <v>1674</v>
      </c>
      <c r="E4">
        <v>4281.13</v>
      </c>
      <c r="F4">
        <v>45</v>
      </c>
      <c r="H4" s="4" t="s">
        <v>668</v>
      </c>
      <c r="I4">
        <v>200</v>
      </c>
      <c r="K4" s="4" t="s">
        <v>1693</v>
      </c>
      <c r="L4">
        <v>10178.92</v>
      </c>
      <c r="N4" s="4">
        <v>3</v>
      </c>
      <c r="O4">
        <v>114</v>
      </c>
      <c r="Q4" s="4" t="s">
        <v>17</v>
      </c>
      <c r="R4">
        <v>213</v>
      </c>
      <c r="T4" s="4" t="s">
        <v>31</v>
      </c>
      <c r="U4">
        <v>346</v>
      </c>
    </row>
    <row r="5" spans="1:21" x14ac:dyDescent="0.3">
      <c r="A5" s="4" t="s">
        <v>20</v>
      </c>
      <c r="B5">
        <v>10197.700000000001</v>
      </c>
      <c r="D5" s="4" t="s">
        <v>1688</v>
      </c>
      <c r="E5">
        <v>5258.51</v>
      </c>
      <c r="F5">
        <v>48</v>
      </c>
      <c r="H5" s="4" t="s">
        <v>1670</v>
      </c>
      <c r="I5">
        <v>600</v>
      </c>
      <c r="K5" s="4" t="s">
        <v>1695</v>
      </c>
      <c r="L5">
        <v>10734.69</v>
      </c>
      <c r="N5" s="4">
        <v>4</v>
      </c>
      <c r="O5">
        <v>110</v>
      </c>
      <c r="Q5" s="4" t="s">
        <v>1670</v>
      </c>
      <c r="R5">
        <v>600</v>
      </c>
      <c r="T5" s="4" t="s">
        <v>20</v>
      </c>
      <c r="U5">
        <v>388</v>
      </c>
    </row>
    <row r="6" spans="1:21" x14ac:dyDescent="0.3">
      <c r="A6" s="4" t="s">
        <v>24</v>
      </c>
      <c r="B6">
        <v>10246.969999999999</v>
      </c>
      <c r="D6" s="4" t="s">
        <v>1684</v>
      </c>
      <c r="E6">
        <v>2558.4699999999998</v>
      </c>
      <c r="F6">
        <v>32</v>
      </c>
      <c r="K6" s="4" t="s">
        <v>1696</v>
      </c>
      <c r="L6">
        <v>9143.82</v>
      </c>
      <c r="N6" s="4">
        <v>5</v>
      </c>
      <c r="O6">
        <v>122</v>
      </c>
      <c r="T6" s="4" t="s">
        <v>24</v>
      </c>
      <c r="U6">
        <v>357</v>
      </c>
    </row>
    <row r="7" spans="1:21" x14ac:dyDescent="0.3">
      <c r="A7" s="4" t="s">
        <v>45</v>
      </c>
      <c r="B7">
        <v>8690.4</v>
      </c>
      <c r="D7" s="4" t="s">
        <v>1677</v>
      </c>
      <c r="E7">
        <v>2751.23</v>
      </c>
      <c r="F7">
        <v>30</v>
      </c>
      <c r="K7" s="4" t="s">
        <v>1697</v>
      </c>
      <c r="L7">
        <v>9538.52</v>
      </c>
      <c r="N7" s="4" t="s">
        <v>1670</v>
      </c>
      <c r="O7">
        <v>600</v>
      </c>
      <c r="T7" s="4" t="s">
        <v>45</v>
      </c>
      <c r="U7">
        <v>346</v>
      </c>
    </row>
    <row r="8" spans="1:21" x14ac:dyDescent="0.3">
      <c r="A8" s="4" t="s">
        <v>1670</v>
      </c>
      <c r="B8">
        <v>58295.35</v>
      </c>
      <c r="D8" s="4" t="s">
        <v>1687</v>
      </c>
      <c r="E8">
        <v>3729.99</v>
      </c>
      <c r="F8">
        <v>44</v>
      </c>
      <c r="K8" s="4" t="s">
        <v>1670</v>
      </c>
      <c r="L8">
        <v>58295.35</v>
      </c>
      <c r="T8" s="4" t="s">
        <v>1670</v>
      </c>
      <c r="U8">
        <v>2128</v>
      </c>
    </row>
    <row r="9" spans="1:21" x14ac:dyDescent="0.3">
      <c r="D9" s="4" t="s">
        <v>1676</v>
      </c>
      <c r="E9">
        <v>3866.14</v>
      </c>
      <c r="F9">
        <v>38</v>
      </c>
    </row>
    <row r="10" spans="1:21" x14ac:dyDescent="0.3">
      <c r="D10" s="4" t="s">
        <v>1682</v>
      </c>
      <c r="E10">
        <v>3548.13</v>
      </c>
      <c r="F10">
        <v>39</v>
      </c>
    </row>
    <row r="11" spans="1:21" x14ac:dyDescent="0.3">
      <c r="D11" s="4" t="s">
        <v>1683</v>
      </c>
      <c r="E11">
        <v>4853.47</v>
      </c>
      <c r="F11">
        <v>52</v>
      </c>
    </row>
    <row r="12" spans="1:21" x14ac:dyDescent="0.3">
      <c r="D12" s="4" t="s">
        <v>1681</v>
      </c>
      <c r="E12">
        <v>3691.53</v>
      </c>
      <c r="F12">
        <v>39</v>
      </c>
    </row>
    <row r="13" spans="1:21" x14ac:dyDescent="0.3">
      <c r="D13" s="4" t="s">
        <v>1686</v>
      </c>
      <c r="E13">
        <v>3802.68</v>
      </c>
      <c r="F13">
        <v>38</v>
      </c>
    </row>
    <row r="14" spans="1:21" x14ac:dyDescent="0.3">
      <c r="D14" s="4" t="s">
        <v>1680</v>
      </c>
      <c r="E14">
        <v>4581.95</v>
      </c>
      <c r="F14">
        <v>49</v>
      </c>
    </row>
    <row r="15" spans="1:21" x14ac:dyDescent="0.3">
      <c r="D15" s="4" t="s">
        <v>1678</v>
      </c>
      <c r="E15">
        <v>3098.12</v>
      </c>
      <c r="F15">
        <v>25</v>
      </c>
    </row>
    <row r="16" spans="1:21" x14ac:dyDescent="0.3">
      <c r="D16" s="4" t="s">
        <v>1679</v>
      </c>
      <c r="E16">
        <v>3776.54</v>
      </c>
      <c r="F16">
        <v>38</v>
      </c>
    </row>
    <row r="17" spans="4:6" x14ac:dyDescent="0.3">
      <c r="D17" s="4" t="s">
        <v>1670</v>
      </c>
      <c r="E17">
        <v>58295.35</v>
      </c>
      <c r="F17">
        <v>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1AD0-B30D-4EF0-8F7C-EBCC69919629}">
  <dimension ref="A1:P606"/>
  <sheetViews>
    <sheetView topLeftCell="A2" zoomScale="95" workbookViewId="0">
      <selection activeCell="A2" sqref="A2:P601"/>
    </sheetView>
  </sheetViews>
  <sheetFormatPr defaultRowHeight="14.4" x14ac:dyDescent="0.3"/>
  <cols>
    <col min="1" max="1" width="11.109375" bestFit="1" customWidth="1"/>
    <col min="2" max="2" width="13.21875" bestFit="1" customWidth="1"/>
    <col min="3" max="3" width="13.33203125" bestFit="1" customWidth="1"/>
    <col min="4" max="4" width="22.77734375" bestFit="1" customWidth="1"/>
    <col min="5" max="5" width="16.109375" bestFit="1" customWidth="1"/>
    <col min="6" max="6" width="13.33203125" bestFit="1" customWidth="1"/>
    <col min="7" max="7" width="10.6640625" bestFit="1" customWidth="1"/>
    <col min="8" max="8" width="11.88671875" bestFit="1" customWidth="1"/>
    <col min="9" max="9" width="12.6640625" bestFit="1" customWidth="1"/>
    <col min="10" max="10" width="16.21875" bestFit="1" customWidth="1"/>
    <col min="11" max="11" width="18.6640625" bestFit="1" customWidth="1"/>
    <col min="12" max="12" width="17.77734375" bestFit="1" customWidth="1"/>
    <col min="13" max="13" width="19.21875" bestFit="1" customWidth="1"/>
    <col min="14" max="14" width="21.33203125" bestFit="1" customWidth="1"/>
    <col min="15" max="15" width="26" bestFit="1" customWidth="1"/>
    <col min="16" max="16" width="20.6640625" bestFit="1" customWidth="1"/>
  </cols>
  <sheetData>
    <row r="1" spans="1:16" x14ac:dyDescent="0.3">
      <c r="A1" t="s">
        <v>0</v>
      </c>
      <c r="B1" t="s">
        <v>1</v>
      </c>
      <c r="C1" t="s">
        <v>2</v>
      </c>
      <c r="D1" t="s">
        <v>3</v>
      </c>
      <c r="E1" t="s">
        <v>4</v>
      </c>
      <c r="F1" t="s">
        <v>5</v>
      </c>
      <c r="G1" t="s">
        <v>6</v>
      </c>
      <c r="H1" t="s">
        <v>7</v>
      </c>
      <c r="I1" t="s">
        <v>8</v>
      </c>
      <c r="J1" t="s">
        <v>9</v>
      </c>
      <c r="K1" t="s">
        <v>10</v>
      </c>
      <c r="L1" t="s">
        <v>11</v>
      </c>
      <c r="M1" t="s">
        <v>1672</v>
      </c>
      <c r="N1" t="s">
        <v>1673</v>
      </c>
      <c r="O1" t="s">
        <v>1690</v>
      </c>
      <c r="P1" t="s">
        <v>1691</v>
      </c>
    </row>
    <row r="2" spans="1:16" x14ac:dyDescent="0.3">
      <c r="A2" t="s">
        <v>12</v>
      </c>
      <c r="B2" s="1">
        <v>45713</v>
      </c>
      <c r="C2" s="2">
        <v>0.52222222222222225</v>
      </c>
      <c r="D2" t="s">
        <v>13</v>
      </c>
      <c r="E2" t="s">
        <v>14</v>
      </c>
      <c r="F2" t="s">
        <v>15</v>
      </c>
      <c r="G2">
        <v>5</v>
      </c>
      <c r="H2">
        <v>6.19</v>
      </c>
      <c r="I2">
        <v>30.95</v>
      </c>
      <c r="J2" t="s">
        <v>16</v>
      </c>
      <c r="K2" t="s">
        <v>17</v>
      </c>
      <c r="L2">
        <v>5</v>
      </c>
      <c r="M2" t="s">
        <v>1674</v>
      </c>
      <c r="N2" t="s">
        <v>1674</v>
      </c>
      <c r="O2">
        <v>2</v>
      </c>
      <c r="P2" t="s">
        <v>1692</v>
      </c>
    </row>
    <row r="3" spans="1:16" x14ac:dyDescent="0.3">
      <c r="A3" t="s">
        <v>18</v>
      </c>
      <c r="B3" s="1">
        <v>45720</v>
      </c>
      <c r="C3" s="2">
        <v>0.47847222222222224</v>
      </c>
      <c r="D3" t="s">
        <v>19</v>
      </c>
      <c r="E3" t="s">
        <v>20</v>
      </c>
      <c r="F3" t="s">
        <v>21</v>
      </c>
      <c r="G3">
        <v>4</v>
      </c>
      <c r="H3">
        <v>17.149999999999999</v>
      </c>
      <c r="I3">
        <v>68.599999999999994</v>
      </c>
      <c r="J3" t="s">
        <v>16</v>
      </c>
      <c r="K3" t="s">
        <v>17</v>
      </c>
      <c r="L3">
        <v>2</v>
      </c>
      <c r="M3" t="s">
        <v>1675</v>
      </c>
      <c r="N3" t="s">
        <v>1674</v>
      </c>
      <c r="O3">
        <v>3</v>
      </c>
      <c r="P3" t="s">
        <v>1693</v>
      </c>
    </row>
    <row r="4" spans="1:16" x14ac:dyDescent="0.3">
      <c r="A4" t="s">
        <v>22</v>
      </c>
      <c r="B4" s="1">
        <v>45703</v>
      </c>
      <c r="C4" s="2">
        <v>0.74861111111111112</v>
      </c>
      <c r="D4" t="s">
        <v>23</v>
      </c>
      <c r="E4" t="s">
        <v>24</v>
      </c>
      <c r="F4" t="s">
        <v>25</v>
      </c>
      <c r="G4">
        <v>1</v>
      </c>
      <c r="H4">
        <v>44.17</v>
      </c>
      <c r="I4">
        <v>44.17</v>
      </c>
      <c r="J4" t="s">
        <v>16</v>
      </c>
      <c r="K4" t="s">
        <v>17</v>
      </c>
      <c r="L4">
        <v>5</v>
      </c>
      <c r="M4" t="s">
        <v>1676</v>
      </c>
      <c r="N4" t="s">
        <v>1674</v>
      </c>
      <c r="O4">
        <v>2</v>
      </c>
      <c r="P4" t="s">
        <v>1692</v>
      </c>
    </row>
    <row r="5" spans="1:16" x14ac:dyDescent="0.3">
      <c r="A5" t="s">
        <v>26</v>
      </c>
      <c r="B5" s="1">
        <v>45658</v>
      </c>
      <c r="C5" s="2">
        <v>0.63611111111111107</v>
      </c>
      <c r="D5" t="s">
        <v>27</v>
      </c>
      <c r="E5" t="s">
        <v>20</v>
      </c>
      <c r="F5" t="s">
        <v>28</v>
      </c>
      <c r="G5">
        <v>4</v>
      </c>
      <c r="H5">
        <v>17.84</v>
      </c>
      <c r="I5">
        <v>71.36</v>
      </c>
      <c r="J5" t="s">
        <v>16</v>
      </c>
      <c r="K5" t="s">
        <v>17</v>
      </c>
      <c r="L5">
        <v>4</v>
      </c>
      <c r="M5" t="s">
        <v>1677</v>
      </c>
      <c r="N5" t="s">
        <v>1674</v>
      </c>
      <c r="O5">
        <v>1</v>
      </c>
      <c r="P5" t="s">
        <v>1694</v>
      </c>
    </row>
    <row r="6" spans="1:16" x14ac:dyDescent="0.3">
      <c r="A6" t="s">
        <v>29</v>
      </c>
      <c r="B6" s="1">
        <v>45697</v>
      </c>
      <c r="C6" s="2">
        <v>0.51249999999999996</v>
      </c>
      <c r="D6" t="s">
        <v>30</v>
      </c>
      <c r="E6" t="s">
        <v>31</v>
      </c>
      <c r="F6" t="s">
        <v>32</v>
      </c>
      <c r="G6">
        <v>2</v>
      </c>
      <c r="H6">
        <v>48.59</v>
      </c>
      <c r="I6">
        <v>97.18</v>
      </c>
      <c r="J6" t="s">
        <v>16</v>
      </c>
      <c r="K6" t="s">
        <v>17</v>
      </c>
      <c r="L6">
        <v>1</v>
      </c>
      <c r="M6" t="s">
        <v>1674</v>
      </c>
      <c r="N6" t="s">
        <v>1674</v>
      </c>
      <c r="O6">
        <v>2</v>
      </c>
      <c r="P6" t="s">
        <v>1692</v>
      </c>
    </row>
    <row r="7" spans="1:16" x14ac:dyDescent="0.3">
      <c r="A7" t="s">
        <v>33</v>
      </c>
      <c r="B7" s="1">
        <v>45675</v>
      </c>
      <c r="C7" s="2">
        <v>0.96875</v>
      </c>
      <c r="D7" t="s">
        <v>34</v>
      </c>
      <c r="E7" t="s">
        <v>35</v>
      </c>
      <c r="F7" t="s">
        <v>36</v>
      </c>
      <c r="G7">
        <v>3</v>
      </c>
      <c r="H7">
        <v>17.82</v>
      </c>
      <c r="I7">
        <v>53.46</v>
      </c>
      <c r="J7" t="s">
        <v>16</v>
      </c>
      <c r="K7" t="s">
        <v>17</v>
      </c>
      <c r="L7">
        <v>3</v>
      </c>
      <c r="M7" t="s">
        <v>1678</v>
      </c>
      <c r="N7" t="s">
        <v>1674</v>
      </c>
      <c r="O7">
        <v>1</v>
      </c>
      <c r="P7" t="s">
        <v>1694</v>
      </c>
    </row>
    <row r="8" spans="1:16" x14ac:dyDescent="0.3">
      <c r="A8" t="s">
        <v>37</v>
      </c>
      <c r="B8" s="1">
        <v>45769</v>
      </c>
      <c r="C8" s="2">
        <v>0.39791666666666664</v>
      </c>
      <c r="D8" t="s">
        <v>38</v>
      </c>
      <c r="E8" t="s">
        <v>20</v>
      </c>
      <c r="F8" t="s">
        <v>39</v>
      </c>
      <c r="G8">
        <v>5</v>
      </c>
      <c r="H8">
        <v>35.909999999999997</v>
      </c>
      <c r="I8">
        <v>179.55</v>
      </c>
      <c r="J8" t="s">
        <v>16</v>
      </c>
      <c r="K8" t="s">
        <v>17</v>
      </c>
      <c r="L8">
        <v>2</v>
      </c>
      <c r="M8" t="s">
        <v>1679</v>
      </c>
      <c r="N8" t="s">
        <v>1674</v>
      </c>
      <c r="O8">
        <v>4</v>
      </c>
      <c r="P8" t="s">
        <v>1695</v>
      </c>
    </row>
    <row r="9" spans="1:16" x14ac:dyDescent="0.3">
      <c r="A9" t="s">
        <v>40</v>
      </c>
      <c r="B9" s="1">
        <v>45800</v>
      </c>
      <c r="C9" s="2">
        <v>0.54027777777777775</v>
      </c>
      <c r="D9" t="s">
        <v>41</v>
      </c>
      <c r="E9" t="s">
        <v>35</v>
      </c>
      <c r="F9" t="s">
        <v>42</v>
      </c>
      <c r="G9">
        <v>1</v>
      </c>
      <c r="H9">
        <v>25.54</v>
      </c>
      <c r="I9">
        <v>25.54</v>
      </c>
      <c r="J9" t="s">
        <v>16</v>
      </c>
      <c r="K9" t="s">
        <v>17</v>
      </c>
      <c r="L9">
        <v>5</v>
      </c>
      <c r="M9" t="s">
        <v>1674</v>
      </c>
      <c r="N9" t="s">
        <v>1674</v>
      </c>
      <c r="O9">
        <v>5</v>
      </c>
      <c r="P9" t="s">
        <v>1696</v>
      </c>
    </row>
    <row r="10" spans="1:16" x14ac:dyDescent="0.3">
      <c r="A10" t="s">
        <v>43</v>
      </c>
      <c r="B10" s="1">
        <v>45722</v>
      </c>
      <c r="C10" s="2">
        <v>0.50486111111111109</v>
      </c>
      <c r="D10" t="s">
        <v>44</v>
      </c>
      <c r="E10" t="s">
        <v>45</v>
      </c>
      <c r="F10" t="s">
        <v>46</v>
      </c>
      <c r="G10">
        <v>6</v>
      </c>
      <c r="H10">
        <v>13.67</v>
      </c>
      <c r="I10">
        <v>82.02</v>
      </c>
      <c r="J10" t="s">
        <v>16</v>
      </c>
      <c r="K10" t="s">
        <v>17</v>
      </c>
      <c r="L10">
        <v>2</v>
      </c>
      <c r="M10" t="s">
        <v>1674</v>
      </c>
      <c r="N10" t="s">
        <v>1674</v>
      </c>
      <c r="O10">
        <v>3</v>
      </c>
      <c r="P10" t="s">
        <v>1693</v>
      </c>
    </row>
    <row r="11" spans="1:16" x14ac:dyDescent="0.3">
      <c r="A11" t="s">
        <v>47</v>
      </c>
      <c r="B11" s="1">
        <v>45707</v>
      </c>
      <c r="C11" s="2">
        <v>0.53263888888888888</v>
      </c>
      <c r="D11" t="s">
        <v>48</v>
      </c>
      <c r="E11" t="s">
        <v>31</v>
      </c>
      <c r="F11" t="s">
        <v>49</v>
      </c>
      <c r="G11">
        <v>4</v>
      </c>
      <c r="H11">
        <v>17.440000000000001</v>
      </c>
      <c r="I11">
        <v>69.760000000000005</v>
      </c>
      <c r="J11" t="s">
        <v>16</v>
      </c>
      <c r="K11" t="s">
        <v>17</v>
      </c>
      <c r="L11">
        <v>3</v>
      </c>
      <c r="M11" t="s">
        <v>1674</v>
      </c>
      <c r="N11" t="s">
        <v>1674</v>
      </c>
      <c r="O11">
        <v>2</v>
      </c>
      <c r="P11" t="s">
        <v>1692</v>
      </c>
    </row>
    <row r="12" spans="1:16" x14ac:dyDescent="0.3">
      <c r="A12" t="s">
        <v>50</v>
      </c>
      <c r="B12" s="1">
        <v>45837</v>
      </c>
      <c r="C12" s="2">
        <v>0.93680555555555556</v>
      </c>
      <c r="D12" t="s">
        <v>51</v>
      </c>
      <c r="E12" t="s">
        <v>24</v>
      </c>
      <c r="F12" t="s">
        <v>52</v>
      </c>
      <c r="G12">
        <v>1</v>
      </c>
      <c r="H12">
        <v>35.93</v>
      </c>
      <c r="I12">
        <v>35.93</v>
      </c>
      <c r="J12" t="s">
        <v>16</v>
      </c>
      <c r="K12" t="s">
        <v>17</v>
      </c>
      <c r="L12">
        <v>2</v>
      </c>
      <c r="M12" t="s">
        <v>1680</v>
      </c>
      <c r="N12" t="s">
        <v>1674</v>
      </c>
      <c r="O12">
        <v>6</v>
      </c>
      <c r="P12" t="s">
        <v>1697</v>
      </c>
    </row>
    <row r="13" spans="1:16" x14ac:dyDescent="0.3">
      <c r="A13" t="s">
        <v>53</v>
      </c>
      <c r="B13" s="1">
        <v>45777</v>
      </c>
      <c r="C13" s="2">
        <v>0.84652777777777777</v>
      </c>
      <c r="D13" t="s">
        <v>54</v>
      </c>
      <c r="E13" t="s">
        <v>24</v>
      </c>
      <c r="F13" t="s">
        <v>55</v>
      </c>
      <c r="G13">
        <v>6</v>
      </c>
      <c r="H13">
        <v>23.11</v>
      </c>
      <c r="I13">
        <v>138.66</v>
      </c>
      <c r="J13" t="s">
        <v>16</v>
      </c>
      <c r="K13" t="s">
        <v>17</v>
      </c>
      <c r="L13">
        <v>4</v>
      </c>
      <c r="M13" t="s">
        <v>1681</v>
      </c>
      <c r="N13" t="s">
        <v>1674</v>
      </c>
      <c r="O13">
        <v>4</v>
      </c>
      <c r="P13" t="s">
        <v>1695</v>
      </c>
    </row>
    <row r="14" spans="1:16" x14ac:dyDescent="0.3">
      <c r="A14" t="s">
        <v>56</v>
      </c>
      <c r="B14" s="1">
        <v>45744</v>
      </c>
      <c r="C14" s="2">
        <v>0.78055555555555556</v>
      </c>
      <c r="D14" t="s">
        <v>57</v>
      </c>
      <c r="E14" t="s">
        <v>24</v>
      </c>
      <c r="F14" t="s">
        <v>58</v>
      </c>
      <c r="G14">
        <v>4</v>
      </c>
      <c r="H14">
        <v>34.24</v>
      </c>
      <c r="I14">
        <v>136.96</v>
      </c>
      <c r="J14" t="s">
        <v>16</v>
      </c>
      <c r="K14" t="s">
        <v>17</v>
      </c>
      <c r="L14">
        <v>4</v>
      </c>
      <c r="M14" t="s">
        <v>1682</v>
      </c>
      <c r="N14" t="s">
        <v>1674</v>
      </c>
      <c r="O14">
        <v>3</v>
      </c>
      <c r="P14" t="s">
        <v>1693</v>
      </c>
    </row>
    <row r="15" spans="1:16" x14ac:dyDescent="0.3">
      <c r="A15" t="s">
        <v>59</v>
      </c>
      <c r="B15" s="1">
        <v>45709</v>
      </c>
      <c r="C15" s="2">
        <v>0.49305555555555558</v>
      </c>
      <c r="D15" t="s">
        <v>60</v>
      </c>
      <c r="E15" t="s">
        <v>24</v>
      </c>
      <c r="F15" t="s">
        <v>61</v>
      </c>
      <c r="G15">
        <v>5</v>
      </c>
      <c r="H15">
        <v>44.44</v>
      </c>
      <c r="I15">
        <v>222.2</v>
      </c>
      <c r="J15" t="s">
        <v>16</v>
      </c>
      <c r="K15" t="s">
        <v>17</v>
      </c>
      <c r="L15">
        <v>3</v>
      </c>
      <c r="M15" t="s">
        <v>1675</v>
      </c>
      <c r="N15" t="s">
        <v>1674</v>
      </c>
      <c r="O15">
        <v>2</v>
      </c>
      <c r="P15" t="s">
        <v>1692</v>
      </c>
    </row>
    <row r="16" spans="1:16" x14ac:dyDescent="0.3">
      <c r="A16" t="s">
        <v>62</v>
      </c>
      <c r="B16" s="1">
        <v>45752</v>
      </c>
      <c r="C16" s="2">
        <v>0.82430555555555551</v>
      </c>
      <c r="D16" t="s">
        <v>63</v>
      </c>
      <c r="E16" t="s">
        <v>35</v>
      </c>
      <c r="F16" t="s">
        <v>64</v>
      </c>
      <c r="G16">
        <v>6</v>
      </c>
      <c r="H16">
        <v>47.57</v>
      </c>
      <c r="I16">
        <v>285.42</v>
      </c>
      <c r="J16" t="s">
        <v>16</v>
      </c>
      <c r="K16" t="s">
        <v>17</v>
      </c>
      <c r="L16">
        <v>2</v>
      </c>
      <c r="M16" t="s">
        <v>1683</v>
      </c>
      <c r="N16" t="s">
        <v>1674</v>
      </c>
      <c r="O16">
        <v>4</v>
      </c>
      <c r="P16" t="s">
        <v>1695</v>
      </c>
    </row>
    <row r="17" spans="1:16" x14ac:dyDescent="0.3">
      <c r="A17" t="s">
        <v>65</v>
      </c>
      <c r="B17" s="1">
        <v>45678</v>
      </c>
      <c r="C17" s="2">
        <v>0.60972222222222228</v>
      </c>
      <c r="D17" t="s">
        <v>66</v>
      </c>
      <c r="E17" t="s">
        <v>24</v>
      </c>
      <c r="F17" t="s">
        <v>67</v>
      </c>
      <c r="G17">
        <v>2</v>
      </c>
      <c r="H17">
        <v>7.96</v>
      </c>
      <c r="I17">
        <v>15.92</v>
      </c>
      <c r="J17" t="s">
        <v>16</v>
      </c>
      <c r="K17" t="s">
        <v>17</v>
      </c>
      <c r="L17">
        <v>5</v>
      </c>
      <c r="M17" t="s">
        <v>1684</v>
      </c>
      <c r="N17" t="s">
        <v>1674</v>
      </c>
      <c r="O17">
        <v>1</v>
      </c>
      <c r="P17" t="s">
        <v>1694</v>
      </c>
    </row>
    <row r="18" spans="1:16" x14ac:dyDescent="0.3">
      <c r="A18" t="s">
        <v>68</v>
      </c>
      <c r="B18" s="1">
        <v>45812</v>
      </c>
      <c r="C18" s="2">
        <v>0.62916666666666665</v>
      </c>
      <c r="D18" t="s">
        <v>69</v>
      </c>
      <c r="E18" t="s">
        <v>20</v>
      </c>
      <c r="F18" t="s">
        <v>70</v>
      </c>
      <c r="G18">
        <v>6</v>
      </c>
      <c r="H18">
        <v>10.15</v>
      </c>
      <c r="I18">
        <v>60.9</v>
      </c>
      <c r="J18" t="s">
        <v>16</v>
      </c>
      <c r="K18" t="s">
        <v>17</v>
      </c>
      <c r="L18">
        <v>2</v>
      </c>
      <c r="M18" t="s">
        <v>1677</v>
      </c>
      <c r="N18" t="s">
        <v>1674</v>
      </c>
      <c r="O18">
        <v>6</v>
      </c>
      <c r="P18" t="s">
        <v>1697</v>
      </c>
    </row>
    <row r="19" spans="1:16" x14ac:dyDescent="0.3">
      <c r="A19" t="s">
        <v>71</v>
      </c>
      <c r="B19" s="1">
        <v>45800</v>
      </c>
      <c r="C19" s="2">
        <v>0.58819444444444446</v>
      </c>
      <c r="D19" t="s">
        <v>72</v>
      </c>
      <c r="E19" t="s">
        <v>35</v>
      </c>
      <c r="F19" t="s">
        <v>73</v>
      </c>
      <c r="G19">
        <v>3</v>
      </c>
      <c r="H19">
        <v>30.83</v>
      </c>
      <c r="I19">
        <v>92.49</v>
      </c>
      <c r="J19" t="s">
        <v>16</v>
      </c>
      <c r="K19" t="s">
        <v>17</v>
      </c>
      <c r="L19">
        <v>5</v>
      </c>
      <c r="M19" t="s">
        <v>1684</v>
      </c>
      <c r="N19" t="s">
        <v>1674</v>
      </c>
      <c r="O19">
        <v>5</v>
      </c>
      <c r="P19" t="s">
        <v>1696</v>
      </c>
    </row>
    <row r="20" spans="1:16" x14ac:dyDescent="0.3">
      <c r="A20" t="s">
        <v>74</v>
      </c>
      <c r="B20" s="1">
        <v>45789</v>
      </c>
      <c r="C20" s="2">
        <v>0.43194444444444446</v>
      </c>
      <c r="D20" t="s">
        <v>75</v>
      </c>
      <c r="E20" t="s">
        <v>20</v>
      </c>
      <c r="F20" t="s">
        <v>76</v>
      </c>
      <c r="G20">
        <v>4</v>
      </c>
      <c r="H20">
        <v>9.99</v>
      </c>
      <c r="I20">
        <v>39.96</v>
      </c>
      <c r="J20" t="s">
        <v>16</v>
      </c>
      <c r="K20" t="s">
        <v>17</v>
      </c>
      <c r="L20">
        <v>4</v>
      </c>
      <c r="M20" t="s">
        <v>1685</v>
      </c>
      <c r="N20" t="s">
        <v>1674</v>
      </c>
      <c r="O20">
        <v>5</v>
      </c>
      <c r="P20" t="s">
        <v>1696</v>
      </c>
    </row>
    <row r="21" spans="1:16" x14ac:dyDescent="0.3">
      <c r="A21" t="s">
        <v>77</v>
      </c>
      <c r="B21" s="1">
        <v>45807</v>
      </c>
      <c r="C21" s="2">
        <v>0.79791666666666672</v>
      </c>
      <c r="D21" t="s">
        <v>78</v>
      </c>
      <c r="E21" t="s">
        <v>20</v>
      </c>
      <c r="F21" t="s">
        <v>79</v>
      </c>
      <c r="G21">
        <v>3</v>
      </c>
      <c r="H21">
        <v>18.96</v>
      </c>
      <c r="I21">
        <v>56.88</v>
      </c>
      <c r="J21" t="s">
        <v>16</v>
      </c>
      <c r="K21" t="s">
        <v>17</v>
      </c>
      <c r="L21">
        <v>4</v>
      </c>
      <c r="M21" t="s">
        <v>1683</v>
      </c>
      <c r="N21" t="s">
        <v>1674</v>
      </c>
      <c r="O21">
        <v>5</v>
      </c>
      <c r="P21" t="s">
        <v>1696</v>
      </c>
    </row>
    <row r="22" spans="1:16" x14ac:dyDescent="0.3">
      <c r="A22" t="s">
        <v>80</v>
      </c>
      <c r="B22" s="1">
        <v>45715</v>
      </c>
      <c r="C22" s="2">
        <v>0.46458333333333335</v>
      </c>
      <c r="D22" t="s">
        <v>81</v>
      </c>
      <c r="E22" t="s">
        <v>45</v>
      </c>
      <c r="F22" t="s">
        <v>82</v>
      </c>
      <c r="G22">
        <v>1</v>
      </c>
      <c r="H22">
        <v>18.309999999999999</v>
      </c>
      <c r="I22">
        <v>18.309999999999999</v>
      </c>
      <c r="J22" t="s">
        <v>16</v>
      </c>
      <c r="K22" t="s">
        <v>17</v>
      </c>
      <c r="L22">
        <v>5</v>
      </c>
      <c r="M22" t="s">
        <v>1675</v>
      </c>
      <c r="N22" t="s">
        <v>1674</v>
      </c>
      <c r="O22">
        <v>2</v>
      </c>
      <c r="P22" t="s">
        <v>1692</v>
      </c>
    </row>
    <row r="23" spans="1:16" x14ac:dyDescent="0.3">
      <c r="A23" t="s">
        <v>83</v>
      </c>
      <c r="B23" s="1">
        <v>45671</v>
      </c>
      <c r="C23" s="2">
        <v>0.8125</v>
      </c>
      <c r="D23" t="s">
        <v>84</v>
      </c>
      <c r="E23" t="s">
        <v>45</v>
      </c>
      <c r="F23" t="s">
        <v>85</v>
      </c>
      <c r="G23">
        <v>3</v>
      </c>
      <c r="H23">
        <v>29.95</v>
      </c>
      <c r="I23">
        <v>89.85</v>
      </c>
      <c r="J23" t="s">
        <v>16</v>
      </c>
      <c r="K23" t="s">
        <v>17</v>
      </c>
      <c r="L23">
        <v>1</v>
      </c>
      <c r="M23" t="s">
        <v>1683</v>
      </c>
      <c r="N23" t="s">
        <v>1674</v>
      </c>
      <c r="O23">
        <v>1</v>
      </c>
      <c r="P23" t="s">
        <v>1694</v>
      </c>
    </row>
    <row r="24" spans="1:16" x14ac:dyDescent="0.3">
      <c r="A24" t="s">
        <v>86</v>
      </c>
      <c r="B24" s="1">
        <v>45821</v>
      </c>
      <c r="C24" s="2">
        <v>0.90208333333333335</v>
      </c>
      <c r="D24" t="s">
        <v>87</v>
      </c>
      <c r="E24" t="s">
        <v>35</v>
      </c>
      <c r="F24" t="s">
        <v>88</v>
      </c>
      <c r="G24">
        <v>4</v>
      </c>
      <c r="H24">
        <v>7.83</v>
      </c>
      <c r="I24">
        <v>31.32</v>
      </c>
      <c r="J24" t="s">
        <v>16</v>
      </c>
      <c r="K24" t="s">
        <v>17</v>
      </c>
      <c r="L24">
        <v>1</v>
      </c>
      <c r="M24" t="s">
        <v>1686</v>
      </c>
      <c r="N24" t="s">
        <v>1674</v>
      </c>
      <c r="O24">
        <v>6</v>
      </c>
      <c r="P24" t="s">
        <v>1697</v>
      </c>
    </row>
    <row r="25" spans="1:16" x14ac:dyDescent="0.3">
      <c r="A25" t="s">
        <v>89</v>
      </c>
      <c r="B25" s="1">
        <v>45675</v>
      </c>
      <c r="C25" s="2">
        <v>0.59375</v>
      </c>
      <c r="D25" t="s">
        <v>90</v>
      </c>
      <c r="E25" t="s">
        <v>45</v>
      </c>
      <c r="F25" t="s">
        <v>91</v>
      </c>
      <c r="G25">
        <v>6</v>
      </c>
      <c r="H25">
        <v>34.57</v>
      </c>
      <c r="I25">
        <v>207.42</v>
      </c>
      <c r="J25" t="s">
        <v>16</v>
      </c>
      <c r="K25" t="s">
        <v>17</v>
      </c>
      <c r="L25">
        <v>3</v>
      </c>
      <c r="M25" t="s">
        <v>1684</v>
      </c>
      <c r="N25" t="s">
        <v>1674</v>
      </c>
      <c r="O25">
        <v>1</v>
      </c>
      <c r="P25" t="s">
        <v>1694</v>
      </c>
    </row>
    <row r="26" spans="1:16" x14ac:dyDescent="0.3">
      <c r="A26" t="s">
        <v>92</v>
      </c>
      <c r="B26" s="1">
        <v>45684</v>
      </c>
      <c r="C26" s="2">
        <v>0.43055555555555558</v>
      </c>
      <c r="D26" t="s">
        <v>93</v>
      </c>
      <c r="E26" t="s">
        <v>35</v>
      </c>
      <c r="F26" t="s">
        <v>94</v>
      </c>
      <c r="G26">
        <v>6</v>
      </c>
      <c r="H26">
        <v>18.3</v>
      </c>
      <c r="I26">
        <v>109.8</v>
      </c>
      <c r="J26" t="s">
        <v>16</v>
      </c>
      <c r="K26" t="s">
        <v>17</v>
      </c>
      <c r="L26">
        <v>4</v>
      </c>
      <c r="M26" t="s">
        <v>1685</v>
      </c>
      <c r="N26" t="s">
        <v>1674</v>
      </c>
      <c r="O26">
        <v>1</v>
      </c>
      <c r="P26" t="s">
        <v>1694</v>
      </c>
    </row>
    <row r="27" spans="1:16" x14ac:dyDescent="0.3">
      <c r="A27" t="s">
        <v>95</v>
      </c>
      <c r="B27" s="1">
        <v>45798</v>
      </c>
      <c r="C27" s="2">
        <v>0.72083333333333333</v>
      </c>
      <c r="D27" t="s">
        <v>96</v>
      </c>
      <c r="E27" t="s">
        <v>20</v>
      </c>
      <c r="F27" t="s">
        <v>97</v>
      </c>
      <c r="G27">
        <v>3</v>
      </c>
      <c r="H27">
        <v>43.31</v>
      </c>
      <c r="I27">
        <v>129.93</v>
      </c>
      <c r="J27" t="s">
        <v>16</v>
      </c>
      <c r="K27" t="s">
        <v>17</v>
      </c>
      <c r="L27">
        <v>2</v>
      </c>
      <c r="M27" t="s">
        <v>1676</v>
      </c>
      <c r="N27" t="s">
        <v>1674</v>
      </c>
      <c r="O27">
        <v>5</v>
      </c>
      <c r="P27" t="s">
        <v>1696</v>
      </c>
    </row>
    <row r="28" spans="1:16" x14ac:dyDescent="0.3">
      <c r="A28" t="s">
        <v>98</v>
      </c>
      <c r="B28" s="1">
        <v>45676</v>
      </c>
      <c r="C28" s="2">
        <v>0.47222222222222221</v>
      </c>
      <c r="D28" t="s">
        <v>99</v>
      </c>
      <c r="E28" t="s">
        <v>35</v>
      </c>
      <c r="F28" t="s">
        <v>100</v>
      </c>
      <c r="G28">
        <v>6</v>
      </c>
      <c r="H28">
        <v>8.34</v>
      </c>
      <c r="I28">
        <v>50.04</v>
      </c>
      <c r="J28" t="s">
        <v>16</v>
      </c>
      <c r="K28" t="s">
        <v>17</v>
      </c>
      <c r="L28">
        <v>3</v>
      </c>
      <c r="M28" t="s">
        <v>1675</v>
      </c>
      <c r="N28" t="s">
        <v>1674</v>
      </c>
      <c r="O28">
        <v>1</v>
      </c>
      <c r="P28" t="s">
        <v>1694</v>
      </c>
    </row>
    <row r="29" spans="1:16" x14ac:dyDescent="0.3">
      <c r="A29" t="s">
        <v>101</v>
      </c>
      <c r="B29" s="1">
        <v>45728</v>
      </c>
      <c r="C29" s="2">
        <v>0.4861111111111111</v>
      </c>
      <c r="D29" t="s">
        <v>102</v>
      </c>
      <c r="E29" t="s">
        <v>45</v>
      </c>
      <c r="F29" t="s">
        <v>103</v>
      </c>
      <c r="G29">
        <v>3</v>
      </c>
      <c r="H29">
        <v>32.65</v>
      </c>
      <c r="I29">
        <v>97.95</v>
      </c>
      <c r="J29" t="s">
        <v>16</v>
      </c>
      <c r="K29" t="s">
        <v>17</v>
      </c>
      <c r="L29">
        <v>2</v>
      </c>
      <c r="M29" t="s">
        <v>1675</v>
      </c>
      <c r="N29" t="s">
        <v>1674</v>
      </c>
      <c r="O29">
        <v>3</v>
      </c>
      <c r="P29" t="s">
        <v>1693</v>
      </c>
    </row>
    <row r="30" spans="1:16" x14ac:dyDescent="0.3">
      <c r="A30" t="s">
        <v>104</v>
      </c>
      <c r="B30" s="1">
        <v>45676</v>
      </c>
      <c r="C30" s="2">
        <v>0.64722222222222225</v>
      </c>
      <c r="D30" t="s">
        <v>105</v>
      </c>
      <c r="E30" t="s">
        <v>24</v>
      </c>
      <c r="F30" t="s">
        <v>106</v>
      </c>
      <c r="G30">
        <v>4</v>
      </c>
      <c r="H30">
        <v>39.4</v>
      </c>
      <c r="I30">
        <v>157.6</v>
      </c>
      <c r="J30" t="s">
        <v>16</v>
      </c>
      <c r="K30" t="s">
        <v>17</v>
      </c>
      <c r="L30">
        <v>5</v>
      </c>
      <c r="M30" t="s">
        <v>1677</v>
      </c>
      <c r="N30" t="s">
        <v>1674</v>
      </c>
      <c r="O30">
        <v>1</v>
      </c>
      <c r="P30" t="s">
        <v>1694</v>
      </c>
    </row>
    <row r="31" spans="1:16" x14ac:dyDescent="0.3">
      <c r="A31" t="s">
        <v>107</v>
      </c>
      <c r="B31" s="1">
        <v>45830</v>
      </c>
      <c r="C31" s="2">
        <v>0.43472222222222223</v>
      </c>
      <c r="D31" t="s">
        <v>108</v>
      </c>
      <c r="E31" t="s">
        <v>20</v>
      </c>
      <c r="F31" t="s">
        <v>109</v>
      </c>
      <c r="G31">
        <v>5</v>
      </c>
      <c r="H31">
        <v>18.850000000000001</v>
      </c>
      <c r="I31">
        <v>94.25</v>
      </c>
      <c r="J31" t="s">
        <v>16</v>
      </c>
      <c r="K31" t="s">
        <v>17</v>
      </c>
      <c r="L31">
        <v>1</v>
      </c>
      <c r="M31" t="s">
        <v>1685</v>
      </c>
      <c r="N31" t="s">
        <v>1674</v>
      </c>
      <c r="O31">
        <v>6</v>
      </c>
      <c r="P31" t="s">
        <v>1697</v>
      </c>
    </row>
    <row r="32" spans="1:16" x14ac:dyDescent="0.3">
      <c r="A32" t="s">
        <v>110</v>
      </c>
      <c r="B32" s="1">
        <v>45738</v>
      </c>
      <c r="C32" s="2">
        <v>0.47847222222222224</v>
      </c>
      <c r="D32" t="s">
        <v>111</v>
      </c>
      <c r="E32" t="s">
        <v>24</v>
      </c>
      <c r="F32" t="s">
        <v>112</v>
      </c>
      <c r="G32">
        <v>5</v>
      </c>
      <c r="H32">
        <v>20.399999999999999</v>
      </c>
      <c r="I32">
        <v>102</v>
      </c>
      <c r="J32" t="s">
        <v>16</v>
      </c>
      <c r="K32" t="s">
        <v>17</v>
      </c>
      <c r="L32">
        <v>3</v>
      </c>
      <c r="M32" t="s">
        <v>1675</v>
      </c>
      <c r="N32" t="s">
        <v>1674</v>
      </c>
      <c r="O32">
        <v>3</v>
      </c>
      <c r="P32" t="s">
        <v>1693</v>
      </c>
    </row>
    <row r="33" spans="1:16" x14ac:dyDescent="0.3">
      <c r="A33" t="s">
        <v>113</v>
      </c>
      <c r="B33" s="1">
        <v>45685</v>
      </c>
      <c r="C33" s="2">
        <v>0.78263888888888888</v>
      </c>
      <c r="D33" t="s">
        <v>114</v>
      </c>
      <c r="E33" t="s">
        <v>45</v>
      </c>
      <c r="F33" t="s">
        <v>115</v>
      </c>
      <c r="G33">
        <v>5</v>
      </c>
      <c r="H33">
        <v>15.77</v>
      </c>
      <c r="I33">
        <v>78.849999999999994</v>
      </c>
      <c r="J33" t="s">
        <v>16</v>
      </c>
      <c r="K33" t="s">
        <v>17</v>
      </c>
      <c r="L33">
        <v>2</v>
      </c>
      <c r="M33" t="s">
        <v>1682</v>
      </c>
      <c r="N33" t="s">
        <v>1674</v>
      </c>
      <c r="O33">
        <v>1</v>
      </c>
      <c r="P33" t="s">
        <v>1694</v>
      </c>
    </row>
    <row r="34" spans="1:16" x14ac:dyDescent="0.3">
      <c r="A34" t="s">
        <v>116</v>
      </c>
      <c r="B34" s="1">
        <v>45731</v>
      </c>
      <c r="C34" s="2">
        <v>0.59583333333333333</v>
      </c>
      <c r="D34" t="s">
        <v>117</v>
      </c>
      <c r="E34" t="s">
        <v>45</v>
      </c>
      <c r="F34" t="s">
        <v>118</v>
      </c>
      <c r="G34">
        <v>6</v>
      </c>
      <c r="H34">
        <v>7.66</v>
      </c>
      <c r="I34">
        <v>45.96</v>
      </c>
      <c r="J34" t="s">
        <v>16</v>
      </c>
      <c r="K34" t="s">
        <v>17</v>
      </c>
      <c r="L34">
        <v>2</v>
      </c>
      <c r="M34" t="s">
        <v>1684</v>
      </c>
      <c r="N34" t="s">
        <v>1674</v>
      </c>
      <c r="O34">
        <v>3</v>
      </c>
      <c r="P34" t="s">
        <v>1693</v>
      </c>
    </row>
    <row r="35" spans="1:16" x14ac:dyDescent="0.3">
      <c r="A35" t="s">
        <v>119</v>
      </c>
      <c r="B35" s="1">
        <v>45803</v>
      </c>
      <c r="C35" s="2">
        <v>0.75416666666666665</v>
      </c>
      <c r="D35" t="s">
        <v>120</v>
      </c>
      <c r="E35" t="s">
        <v>20</v>
      </c>
      <c r="F35" t="s">
        <v>121</v>
      </c>
      <c r="G35">
        <v>3</v>
      </c>
      <c r="H35">
        <v>17.809999999999999</v>
      </c>
      <c r="I35">
        <v>53.43</v>
      </c>
      <c r="J35" t="s">
        <v>16</v>
      </c>
      <c r="K35" t="s">
        <v>17</v>
      </c>
      <c r="L35">
        <v>4</v>
      </c>
      <c r="M35" t="s">
        <v>1682</v>
      </c>
      <c r="N35" t="s">
        <v>1674</v>
      </c>
      <c r="O35">
        <v>5</v>
      </c>
      <c r="P35" t="s">
        <v>1696</v>
      </c>
    </row>
    <row r="36" spans="1:16" x14ac:dyDescent="0.3">
      <c r="A36" t="s">
        <v>122</v>
      </c>
      <c r="B36" s="1">
        <v>45755</v>
      </c>
      <c r="C36" s="2">
        <v>0.70486111111111116</v>
      </c>
      <c r="D36" t="s">
        <v>123</v>
      </c>
      <c r="E36" t="s">
        <v>20</v>
      </c>
      <c r="F36" t="s">
        <v>124</v>
      </c>
      <c r="G36">
        <v>4</v>
      </c>
      <c r="H36">
        <v>21.9</v>
      </c>
      <c r="I36">
        <v>87.6</v>
      </c>
      <c r="J36" t="s">
        <v>16</v>
      </c>
      <c r="K36" t="s">
        <v>17</v>
      </c>
      <c r="L36">
        <v>2</v>
      </c>
      <c r="M36" t="s">
        <v>1687</v>
      </c>
      <c r="N36" t="s">
        <v>1674</v>
      </c>
      <c r="O36">
        <v>4</v>
      </c>
      <c r="P36" t="s">
        <v>1695</v>
      </c>
    </row>
    <row r="37" spans="1:16" x14ac:dyDescent="0.3">
      <c r="A37" t="s">
        <v>125</v>
      </c>
      <c r="B37" s="1">
        <v>45715</v>
      </c>
      <c r="C37" s="2">
        <v>0.91666666666666663</v>
      </c>
      <c r="D37" t="s">
        <v>126</v>
      </c>
      <c r="E37" t="s">
        <v>35</v>
      </c>
      <c r="F37" t="s">
        <v>127</v>
      </c>
      <c r="G37">
        <v>1</v>
      </c>
      <c r="H37">
        <v>49.03</v>
      </c>
      <c r="I37">
        <v>49.03</v>
      </c>
      <c r="J37" t="s">
        <v>16</v>
      </c>
      <c r="K37" t="s">
        <v>17</v>
      </c>
      <c r="L37">
        <v>5</v>
      </c>
      <c r="M37" t="s">
        <v>1680</v>
      </c>
      <c r="N37" t="s">
        <v>1674</v>
      </c>
      <c r="O37">
        <v>2</v>
      </c>
      <c r="P37" t="s">
        <v>1692</v>
      </c>
    </row>
    <row r="38" spans="1:16" x14ac:dyDescent="0.3">
      <c r="A38" t="s">
        <v>128</v>
      </c>
      <c r="B38" s="1">
        <v>45717</v>
      </c>
      <c r="C38" s="2">
        <v>0.95694444444444449</v>
      </c>
      <c r="D38" t="s">
        <v>129</v>
      </c>
      <c r="E38" t="s">
        <v>31</v>
      </c>
      <c r="F38" t="s">
        <v>130</v>
      </c>
      <c r="G38">
        <v>6</v>
      </c>
      <c r="H38">
        <v>30.92</v>
      </c>
      <c r="I38">
        <v>185.52</v>
      </c>
      <c r="J38" t="s">
        <v>16</v>
      </c>
      <c r="K38" t="s">
        <v>17</v>
      </c>
      <c r="L38">
        <v>3</v>
      </c>
      <c r="M38" t="s">
        <v>1680</v>
      </c>
      <c r="N38" t="s">
        <v>1674</v>
      </c>
      <c r="O38">
        <v>3</v>
      </c>
      <c r="P38" t="s">
        <v>1693</v>
      </c>
    </row>
    <row r="39" spans="1:16" x14ac:dyDescent="0.3">
      <c r="A39" t="s">
        <v>131</v>
      </c>
      <c r="B39" s="1">
        <v>45728</v>
      </c>
      <c r="C39" s="2">
        <v>0.39930555555555558</v>
      </c>
      <c r="D39" t="s">
        <v>132</v>
      </c>
      <c r="E39" t="s">
        <v>14</v>
      </c>
      <c r="F39" t="s">
        <v>133</v>
      </c>
      <c r="G39">
        <v>5</v>
      </c>
      <c r="H39">
        <v>44.59</v>
      </c>
      <c r="I39">
        <v>222.95</v>
      </c>
      <c r="J39" t="s">
        <v>16</v>
      </c>
      <c r="K39" t="s">
        <v>17</v>
      </c>
      <c r="L39">
        <v>4</v>
      </c>
      <c r="M39" t="s">
        <v>1679</v>
      </c>
      <c r="N39" t="s">
        <v>1674</v>
      </c>
      <c r="O39">
        <v>3</v>
      </c>
      <c r="P39" t="s">
        <v>1693</v>
      </c>
    </row>
    <row r="40" spans="1:16" x14ac:dyDescent="0.3">
      <c r="A40" t="s">
        <v>134</v>
      </c>
      <c r="B40" s="1">
        <v>45830</v>
      </c>
      <c r="C40" s="2">
        <v>0.77638888888888891</v>
      </c>
      <c r="D40" t="s">
        <v>135</v>
      </c>
      <c r="E40" t="s">
        <v>14</v>
      </c>
      <c r="F40" t="s">
        <v>136</v>
      </c>
      <c r="G40">
        <v>1</v>
      </c>
      <c r="H40">
        <v>44.31</v>
      </c>
      <c r="I40">
        <v>44.31</v>
      </c>
      <c r="J40" t="s">
        <v>16</v>
      </c>
      <c r="K40" t="s">
        <v>17</v>
      </c>
      <c r="L40">
        <v>5</v>
      </c>
      <c r="M40" t="s">
        <v>1682</v>
      </c>
      <c r="N40" t="s">
        <v>1674</v>
      </c>
      <c r="O40">
        <v>6</v>
      </c>
      <c r="P40" t="s">
        <v>1697</v>
      </c>
    </row>
    <row r="41" spans="1:16" x14ac:dyDescent="0.3">
      <c r="A41" t="s">
        <v>137</v>
      </c>
      <c r="B41" s="1">
        <v>45742</v>
      </c>
      <c r="C41" s="2">
        <v>0.51666666666666672</v>
      </c>
      <c r="D41" t="s">
        <v>138</v>
      </c>
      <c r="E41" t="s">
        <v>35</v>
      </c>
      <c r="F41" t="s">
        <v>61</v>
      </c>
      <c r="G41">
        <v>5</v>
      </c>
      <c r="H41">
        <v>42.5</v>
      </c>
      <c r="I41">
        <v>212.5</v>
      </c>
      <c r="J41" t="s">
        <v>16</v>
      </c>
      <c r="K41" t="s">
        <v>17</v>
      </c>
      <c r="L41">
        <v>3</v>
      </c>
      <c r="M41" t="s">
        <v>1674</v>
      </c>
      <c r="N41" t="s">
        <v>1674</v>
      </c>
      <c r="O41">
        <v>3</v>
      </c>
      <c r="P41" t="s">
        <v>1693</v>
      </c>
    </row>
    <row r="42" spans="1:16" x14ac:dyDescent="0.3">
      <c r="A42" t="s">
        <v>139</v>
      </c>
      <c r="B42" s="1">
        <v>45662</v>
      </c>
      <c r="C42" s="2">
        <v>0.39861111111111114</v>
      </c>
      <c r="D42" t="s">
        <v>140</v>
      </c>
      <c r="E42" t="s">
        <v>45</v>
      </c>
      <c r="F42" t="s">
        <v>141</v>
      </c>
      <c r="G42">
        <v>5</v>
      </c>
      <c r="H42">
        <v>23.51</v>
      </c>
      <c r="I42">
        <v>117.55</v>
      </c>
      <c r="J42" t="s">
        <v>16</v>
      </c>
      <c r="K42" t="s">
        <v>17</v>
      </c>
      <c r="L42">
        <v>3</v>
      </c>
      <c r="M42" t="s">
        <v>1679</v>
      </c>
      <c r="N42" t="s">
        <v>1674</v>
      </c>
      <c r="O42">
        <v>1</v>
      </c>
      <c r="P42" t="s">
        <v>1694</v>
      </c>
    </row>
    <row r="43" spans="1:16" x14ac:dyDescent="0.3">
      <c r="A43" t="s">
        <v>142</v>
      </c>
      <c r="B43" s="1">
        <v>45684</v>
      </c>
      <c r="C43" s="2">
        <v>0.46180555555555558</v>
      </c>
      <c r="D43" t="s">
        <v>143</v>
      </c>
      <c r="E43" t="s">
        <v>31</v>
      </c>
      <c r="F43" t="s">
        <v>144</v>
      </c>
      <c r="G43">
        <v>2</v>
      </c>
      <c r="H43">
        <v>24.39</v>
      </c>
      <c r="I43">
        <v>48.78</v>
      </c>
      <c r="J43" t="s">
        <v>16</v>
      </c>
      <c r="K43" t="s">
        <v>17</v>
      </c>
      <c r="L43">
        <v>4</v>
      </c>
      <c r="M43" t="s">
        <v>1675</v>
      </c>
      <c r="N43" t="s">
        <v>1674</v>
      </c>
      <c r="O43">
        <v>1</v>
      </c>
      <c r="P43" t="s">
        <v>1694</v>
      </c>
    </row>
    <row r="44" spans="1:16" x14ac:dyDescent="0.3">
      <c r="A44" t="s">
        <v>145</v>
      </c>
      <c r="B44" s="1">
        <v>45676</v>
      </c>
      <c r="C44" s="2">
        <v>0.69305555555555554</v>
      </c>
      <c r="D44" t="s">
        <v>146</v>
      </c>
      <c r="E44" t="s">
        <v>31</v>
      </c>
      <c r="F44" t="s">
        <v>147</v>
      </c>
      <c r="G44">
        <v>4</v>
      </c>
      <c r="H44">
        <v>31.2</v>
      </c>
      <c r="I44">
        <v>124.8</v>
      </c>
      <c r="J44" t="s">
        <v>16</v>
      </c>
      <c r="K44" t="s">
        <v>17</v>
      </c>
      <c r="L44">
        <v>4</v>
      </c>
      <c r="M44" t="s">
        <v>1687</v>
      </c>
      <c r="N44" t="s">
        <v>1674</v>
      </c>
      <c r="O44">
        <v>1</v>
      </c>
      <c r="P44" t="s">
        <v>1694</v>
      </c>
    </row>
    <row r="45" spans="1:16" x14ac:dyDescent="0.3">
      <c r="A45" t="s">
        <v>148</v>
      </c>
      <c r="B45" s="1">
        <v>45797</v>
      </c>
      <c r="C45" s="2">
        <v>0.40972222222222221</v>
      </c>
      <c r="D45" t="s">
        <v>149</v>
      </c>
      <c r="E45" t="s">
        <v>31</v>
      </c>
      <c r="F45" t="s">
        <v>150</v>
      </c>
      <c r="G45">
        <v>3</v>
      </c>
      <c r="H45">
        <v>36.57</v>
      </c>
      <c r="I45">
        <v>109.71</v>
      </c>
      <c r="J45" t="s">
        <v>16</v>
      </c>
      <c r="K45" t="s">
        <v>17</v>
      </c>
      <c r="L45">
        <v>1</v>
      </c>
      <c r="M45" t="s">
        <v>1679</v>
      </c>
      <c r="N45" t="s">
        <v>1674</v>
      </c>
      <c r="O45">
        <v>5</v>
      </c>
      <c r="P45" t="s">
        <v>1696</v>
      </c>
    </row>
    <row r="46" spans="1:16" x14ac:dyDescent="0.3">
      <c r="A46" t="s">
        <v>151</v>
      </c>
      <c r="B46" s="1">
        <v>45685</v>
      </c>
      <c r="C46" s="2">
        <v>0.88541666666666663</v>
      </c>
      <c r="D46" t="s">
        <v>152</v>
      </c>
      <c r="E46" t="s">
        <v>14</v>
      </c>
      <c r="F46" t="s">
        <v>153</v>
      </c>
      <c r="G46">
        <v>6</v>
      </c>
      <c r="H46">
        <v>34.909999999999997</v>
      </c>
      <c r="I46">
        <v>209.46</v>
      </c>
      <c r="J46" t="s">
        <v>16</v>
      </c>
      <c r="K46" t="s">
        <v>17</v>
      </c>
      <c r="L46">
        <v>1</v>
      </c>
      <c r="M46" t="s">
        <v>1686</v>
      </c>
      <c r="N46" t="s">
        <v>1674</v>
      </c>
      <c r="O46">
        <v>1</v>
      </c>
      <c r="P46" t="s">
        <v>1694</v>
      </c>
    </row>
    <row r="47" spans="1:16" x14ac:dyDescent="0.3">
      <c r="A47" t="s">
        <v>154</v>
      </c>
      <c r="B47" s="1">
        <v>45683</v>
      </c>
      <c r="C47" s="2">
        <v>0.55138888888888893</v>
      </c>
      <c r="D47" t="s">
        <v>155</v>
      </c>
      <c r="E47" t="s">
        <v>31</v>
      </c>
      <c r="F47" t="s">
        <v>156</v>
      </c>
      <c r="G47">
        <v>5</v>
      </c>
      <c r="H47">
        <v>38.61</v>
      </c>
      <c r="I47">
        <v>193.05</v>
      </c>
      <c r="J47" t="s">
        <v>16</v>
      </c>
      <c r="K47" t="s">
        <v>17</v>
      </c>
      <c r="L47">
        <v>5</v>
      </c>
      <c r="M47" t="s">
        <v>1688</v>
      </c>
      <c r="N47" t="s">
        <v>1674</v>
      </c>
      <c r="O47">
        <v>1</v>
      </c>
      <c r="P47" t="s">
        <v>1694</v>
      </c>
    </row>
    <row r="48" spans="1:16" x14ac:dyDescent="0.3">
      <c r="A48" t="s">
        <v>157</v>
      </c>
      <c r="B48" s="1">
        <v>45714</v>
      </c>
      <c r="C48" s="2">
        <v>0.68263888888888891</v>
      </c>
      <c r="D48" t="s">
        <v>158</v>
      </c>
      <c r="E48" t="s">
        <v>20</v>
      </c>
      <c r="F48" t="s">
        <v>159</v>
      </c>
      <c r="G48">
        <v>4</v>
      </c>
      <c r="H48">
        <v>25.84</v>
      </c>
      <c r="I48">
        <v>103.36</v>
      </c>
      <c r="J48" t="s">
        <v>16</v>
      </c>
      <c r="K48" t="s">
        <v>17</v>
      </c>
      <c r="L48">
        <v>5</v>
      </c>
      <c r="M48" t="s">
        <v>1687</v>
      </c>
      <c r="N48" t="s">
        <v>1674</v>
      </c>
      <c r="O48">
        <v>2</v>
      </c>
      <c r="P48" t="s">
        <v>1692</v>
      </c>
    </row>
    <row r="49" spans="1:16" x14ac:dyDescent="0.3">
      <c r="A49" t="s">
        <v>160</v>
      </c>
      <c r="B49" s="1">
        <v>45660</v>
      </c>
      <c r="C49" s="2">
        <v>0.67222222222222228</v>
      </c>
      <c r="D49" t="s">
        <v>161</v>
      </c>
      <c r="E49" t="s">
        <v>31</v>
      </c>
      <c r="F49" t="s">
        <v>162</v>
      </c>
      <c r="G49">
        <v>2</v>
      </c>
      <c r="H49">
        <v>41.68</v>
      </c>
      <c r="I49">
        <v>83.36</v>
      </c>
      <c r="J49" t="s">
        <v>16</v>
      </c>
      <c r="K49" t="s">
        <v>17</v>
      </c>
      <c r="L49">
        <v>4</v>
      </c>
      <c r="M49" t="s">
        <v>1687</v>
      </c>
      <c r="N49" t="s">
        <v>1674</v>
      </c>
      <c r="O49">
        <v>1</v>
      </c>
      <c r="P49" t="s">
        <v>1694</v>
      </c>
    </row>
    <row r="50" spans="1:16" x14ac:dyDescent="0.3">
      <c r="A50" t="s">
        <v>163</v>
      </c>
      <c r="B50" s="1">
        <v>45701</v>
      </c>
      <c r="C50" s="2">
        <v>0.89513888888888893</v>
      </c>
      <c r="D50" t="s">
        <v>164</v>
      </c>
      <c r="E50" t="s">
        <v>35</v>
      </c>
      <c r="F50" t="s">
        <v>165</v>
      </c>
      <c r="G50">
        <v>5</v>
      </c>
      <c r="H50">
        <v>38.409999999999997</v>
      </c>
      <c r="I50">
        <v>192.05</v>
      </c>
      <c r="J50" t="s">
        <v>16</v>
      </c>
      <c r="K50" t="s">
        <v>17</v>
      </c>
      <c r="L50">
        <v>1</v>
      </c>
      <c r="M50" t="s">
        <v>1686</v>
      </c>
      <c r="N50" t="s">
        <v>1674</v>
      </c>
      <c r="O50">
        <v>2</v>
      </c>
      <c r="P50" t="s">
        <v>1692</v>
      </c>
    </row>
    <row r="51" spans="1:16" x14ac:dyDescent="0.3">
      <c r="A51" t="s">
        <v>166</v>
      </c>
      <c r="B51" s="1">
        <v>45701</v>
      </c>
      <c r="C51" s="2">
        <v>0.61458333333333337</v>
      </c>
      <c r="D51" t="s">
        <v>167</v>
      </c>
      <c r="E51" t="s">
        <v>24</v>
      </c>
      <c r="F51" t="s">
        <v>168</v>
      </c>
      <c r="G51">
        <v>3</v>
      </c>
      <c r="H51">
        <v>18.02</v>
      </c>
      <c r="I51">
        <v>54.06</v>
      </c>
      <c r="J51" t="s">
        <v>16</v>
      </c>
      <c r="K51" t="s">
        <v>17</v>
      </c>
      <c r="L51">
        <v>1</v>
      </c>
      <c r="M51" t="s">
        <v>1684</v>
      </c>
      <c r="N51" t="s">
        <v>1674</v>
      </c>
      <c r="O51">
        <v>2</v>
      </c>
      <c r="P51" t="s">
        <v>1692</v>
      </c>
    </row>
    <row r="52" spans="1:16" x14ac:dyDescent="0.3">
      <c r="A52" t="s">
        <v>169</v>
      </c>
      <c r="B52" s="1">
        <v>45806</v>
      </c>
      <c r="C52" s="2">
        <v>0.41319444444444442</v>
      </c>
      <c r="D52" t="s">
        <v>170</v>
      </c>
      <c r="E52" t="s">
        <v>35</v>
      </c>
      <c r="F52" t="s">
        <v>171</v>
      </c>
      <c r="G52">
        <v>6</v>
      </c>
      <c r="H52">
        <v>9.19</v>
      </c>
      <c r="I52">
        <v>55.14</v>
      </c>
      <c r="J52" t="s">
        <v>16</v>
      </c>
      <c r="K52" t="s">
        <v>17</v>
      </c>
      <c r="L52">
        <v>3</v>
      </c>
      <c r="M52" t="s">
        <v>1679</v>
      </c>
      <c r="N52" t="s">
        <v>1674</v>
      </c>
      <c r="O52">
        <v>5</v>
      </c>
      <c r="P52" t="s">
        <v>1696</v>
      </c>
    </row>
    <row r="53" spans="1:16" x14ac:dyDescent="0.3">
      <c r="A53" t="s">
        <v>172</v>
      </c>
      <c r="B53" s="1">
        <v>45684</v>
      </c>
      <c r="C53" s="2">
        <v>0.59930555555555554</v>
      </c>
      <c r="D53" t="s">
        <v>173</v>
      </c>
      <c r="E53" t="s">
        <v>14</v>
      </c>
      <c r="F53" t="s">
        <v>174</v>
      </c>
      <c r="G53">
        <v>3</v>
      </c>
      <c r="H53">
        <v>11.17</v>
      </c>
      <c r="I53">
        <v>33.51</v>
      </c>
      <c r="J53" t="s">
        <v>16</v>
      </c>
      <c r="K53" t="s">
        <v>17</v>
      </c>
      <c r="L53">
        <v>2</v>
      </c>
      <c r="M53" t="s">
        <v>1684</v>
      </c>
      <c r="N53" t="s">
        <v>1674</v>
      </c>
      <c r="O53">
        <v>1</v>
      </c>
      <c r="P53" t="s">
        <v>1694</v>
      </c>
    </row>
    <row r="54" spans="1:16" x14ac:dyDescent="0.3">
      <c r="A54" t="s">
        <v>175</v>
      </c>
      <c r="B54" s="1">
        <v>45721</v>
      </c>
      <c r="C54" s="2">
        <v>0.57013888888888886</v>
      </c>
      <c r="D54" t="s">
        <v>176</v>
      </c>
      <c r="E54" t="s">
        <v>31</v>
      </c>
      <c r="F54" t="s">
        <v>177</v>
      </c>
      <c r="G54">
        <v>1</v>
      </c>
      <c r="H54">
        <v>16.170000000000002</v>
      </c>
      <c r="I54">
        <v>16.170000000000002</v>
      </c>
      <c r="J54" t="s">
        <v>16</v>
      </c>
      <c r="K54" t="s">
        <v>17</v>
      </c>
      <c r="L54">
        <v>5</v>
      </c>
      <c r="M54" t="s">
        <v>1688</v>
      </c>
      <c r="N54" t="s">
        <v>1674</v>
      </c>
      <c r="O54">
        <v>3</v>
      </c>
      <c r="P54" t="s">
        <v>1693</v>
      </c>
    </row>
    <row r="55" spans="1:16" x14ac:dyDescent="0.3">
      <c r="A55" t="s">
        <v>178</v>
      </c>
      <c r="B55" s="1">
        <v>45788</v>
      </c>
      <c r="C55" s="2">
        <v>0.96736111111111112</v>
      </c>
      <c r="D55" t="s">
        <v>179</v>
      </c>
      <c r="E55" t="s">
        <v>35</v>
      </c>
      <c r="F55" t="s">
        <v>180</v>
      </c>
      <c r="G55">
        <v>2</v>
      </c>
      <c r="H55">
        <v>29.14</v>
      </c>
      <c r="I55">
        <v>58.28</v>
      </c>
      <c r="J55" t="s">
        <v>16</v>
      </c>
      <c r="K55" t="s">
        <v>17</v>
      </c>
      <c r="L55">
        <v>1</v>
      </c>
      <c r="M55" t="s">
        <v>1678</v>
      </c>
      <c r="N55" t="s">
        <v>1674</v>
      </c>
      <c r="O55">
        <v>5</v>
      </c>
      <c r="P55" t="s">
        <v>1696</v>
      </c>
    </row>
    <row r="56" spans="1:16" x14ac:dyDescent="0.3">
      <c r="A56" t="s">
        <v>181</v>
      </c>
      <c r="B56" s="1">
        <v>45769</v>
      </c>
      <c r="C56" s="2">
        <v>0.43680555555555556</v>
      </c>
      <c r="D56" t="s">
        <v>182</v>
      </c>
      <c r="E56" t="s">
        <v>24</v>
      </c>
      <c r="F56" t="s">
        <v>183</v>
      </c>
      <c r="G56">
        <v>5</v>
      </c>
      <c r="H56">
        <v>32.4</v>
      </c>
      <c r="I56">
        <v>162</v>
      </c>
      <c r="J56" t="s">
        <v>16</v>
      </c>
      <c r="K56" t="s">
        <v>17</v>
      </c>
      <c r="L56">
        <v>2</v>
      </c>
      <c r="M56" t="s">
        <v>1685</v>
      </c>
      <c r="N56" t="s">
        <v>1674</v>
      </c>
      <c r="O56">
        <v>4</v>
      </c>
      <c r="P56" t="s">
        <v>1695</v>
      </c>
    </row>
    <row r="57" spans="1:16" x14ac:dyDescent="0.3">
      <c r="A57" t="s">
        <v>184</v>
      </c>
      <c r="B57" s="1">
        <v>45751</v>
      </c>
      <c r="C57" s="2">
        <v>0.66527777777777775</v>
      </c>
      <c r="D57" t="s">
        <v>185</v>
      </c>
      <c r="E57" t="s">
        <v>45</v>
      </c>
      <c r="F57" t="s">
        <v>186</v>
      </c>
      <c r="G57">
        <v>2</v>
      </c>
      <c r="H57">
        <v>13.05</v>
      </c>
      <c r="I57">
        <v>26.1</v>
      </c>
      <c r="J57" t="s">
        <v>16</v>
      </c>
      <c r="K57" t="s">
        <v>17</v>
      </c>
      <c r="L57">
        <v>4</v>
      </c>
      <c r="M57" t="s">
        <v>1677</v>
      </c>
      <c r="N57" t="s">
        <v>1674</v>
      </c>
      <c r="O57">
        <v>4</v>
      </c>
      <c r="P57" t="s">
        <v>1695</v>
      </c>
    </row>
    <row r="58" spans="1:16" x14ac:dyDescent="0.3">
      <c r="A58" t="s">
        <v>187</v>
      </c>
      <c r="B58" s="1">
        <v>45774</v>
      </c>
      <c r="C58" s="2">
        <v>0.39097222222222222</v>
      </c>
      <c r="D58" t="s">
        <v>188</v>
      </c>
      <c r="E58" t="s">
        <v>24</v>
      </c>
      <c r="F58" t="s">
        <v>189</v>
      </c>
      <c r="G58">
        <v>2</v>
      </c>
      <c r="H58">
        <v>18.12</v>
      </c>
      <c r="I58">
        <v>36.24</v>
      </c>
      <c r="J58" t="s">
        <v>16</v>
      </c>
      <c r="K58" t="s">
        <v>17</v>
      </c>
      <c r="L58">
        <v>2</v>
      </c>
      <c r="M58" t="s">
        <v>1679</v>
      </c>
      <c r="N58" t="s">
        <v>1674</v>
      </c>
      <c r="O58">
        <v>4</v>
      </c>
      <c r="P58" t="s">
        <v>1695</v>
      </c>
    </row>
    <row r="59" spans="1:16" x14ac:dyDescent="0.3">
      <c r="A59" t="s">
        <v>190</v>
      </c>
      <c r="B59" s="1">
        <v>45776</v>
      </c>
      <c r="C59" s="2">
        <v>0.60902777777777772</v>
      </c>
      <c r="D59" t="s">
        <v>191</v>
      </c>
      <c r="E59" t="s">
        <v>14</v>
      </c>
      <c r="F59" t="s">
        <v>192</v>
      </c>
      <c r="G59">
        <v>4</v>
      </c>
      <c r="H59">
        <v>49.9</v>
      </c>
      <c r="I59">
        <v>199.6</v>
      </c>
      <c r="J59" t="s">
        <v>16</v>
      </c>
      <c r="K59" t="s">
        <v>17</v>
      </c>
      <c r="L59">
        <v>2</v>
      </c>
      <c r="M59" t="s">
        <v>1684</v>
      </c>
      <c r="N59" t="s">
        <v>1674</v>
      </c>
      <c r="O59">
        <v>4</v>
      </c>
      <c r="P59" t="s">
        <v>1695</v>
      </c>
    </row>
    <row r="60" spans="1:16" x14ac:dyDescent="0.3">
      <c r="A60" t="s">
        <v>193</v>
      </c>
      <c r="B60" s="1">
        <v>45769</v>
      </c>
      <c r="C60" s="2">
        <v>0.90277777777777779</v>
      </c>
      <c r="D60" t="s">
        <v>194</v>
      </c>
      <c r="E60" t="s">
        <v>14</v>
      </c>
      <c r="F60" t="s">
        <v>195</v>
      </c>
      <c r="G60">
        <v>4</v>
      </c>
      <c r="H60">
        <v>34.21</v>
      </c>
      <c r="I60">
        <v>136.84</v>
      </c>
      <c r="J60" t="s">
        <v>16</v>
      </c>
      <c r="K60" t="s">
        <v>17</v>
      </c>
      <c r="L60">
        <v>5</v>
      </c>
      <c r="M60" t="s">
        <v>1686</v>
      </c>
      <c r="N60" t="s">
        <v>1674</v>
      </c>
      <c r="O60">
        <v>4</v>
      </c>
      <c r="P60" t="s">
        <v>1695</v>
      </c>
    </row>
    <row r="61" spans="1:16" x14ac:dyDescent="0.3">
      <c r="A61" t="s">
        <v>196</v>
      </c>
      <c r="B61" s="1">
        <v>45799</v>
      </c>
      <c r="C61" s="2">
        <v>0.41180555555555554</v>
      </c>
      <c r="D61" t="s">
        <v>197</v>
      </c>
      <c r="E61" t="s">
        <v>35</v>
      </c>
      <c r="F61" t="s">
        <v>198</v>
      </c>
      <c r="G61">
        <v>4</v>
      </c>
      <c r="H61">
        <v>41.83</v>
      </c>
      <c r="I61">
        <v>167.32</v>
      </c>
      <c r="J61" t="s">
        <v>16</v>
      </c>
      <c r="K61" t="s">
        <v>17</v>
      </c>
      <c r="L61">
        <v>4</v>
      </c>
      <c r="M61" t="s">
        <v>1679</v>
      </c>
      <c r="N61" t="s">
        <v>1674</v>
      </c>
      <c r="O61">
        <v>5</v>
      </c>
      <c r="P61" t="s">
        <v>1696</v>
      </c>
    </row>
    <row r="62" spans="1:16" x14ac:dyDescent="0.3">
      <c r="A62" t="s">
        <v>199</v>
      </c>
      <c r="B62" s="1">
        <v>45746</v>
      </c>
      <c r="C62" s="2">
        <v>0.97638888888888886</v>
      </c>
      <c r="D62" t="s">
        <v>140</v>
      </c>
      <c r="E62" t="s">
        <v>35</v>
      </c>
      <c r="F62" t="s">
        <v>200</v>
      </c>
      <c r="G62">
        <v>3</v>
      </c>
      <c r="H62">
        <v>22.24</v>
      </c>
      <c r="I62">
        <v>66.72</v>
      </c>
      <c r="J62" t="s">
        <v>16</v>
      </c>
      <c r="K62" t="s">
        <v>17</v>
      </c>
      <c r="L62">
        <v>4</v>
      </c>
      <c r="M62" t="s">
        <v>1678</v>
      </c>
      <c r="N62" t="s">
        <v>1674</v>
      </c>
      <c r="O62">
        <v>3</v>
      </c>
      <c r="P62" t="s">
        <v>1693</v>
      </c>
    </row>
    <row r="63" spans="1:16" x14ac:dyDescent="0.3">
      <c r="A63" t="s">
        <v>201</v>
      </c>
      <c r="B63" s="1">
        <v>45667</v>
      </c>
      <c r="C63" s="2">
        <v>0.47013888888888888</v>
      </c>
      <c r="D63" t="s">
        <v>202</v>
      </c>
      <c r="E63" t="s">
        <v>31</v>
      </c>
      <c r="F63" t="s">
        <v>203</v>
      </c>
      <c r="G63">
        <v>4</v>
      </c>
      <c r="H63">
        <v>11.47</v>
      </c>
      <c r="I63">
        <v>45.88</v>
      </c>
      <c r="J63" t="s">
        <v>16</v>
      </c>
      <c r="K63" t="s">
        <v>17</v>
      </c>
      <c r="L63">
        <v>4</v>
      </c>
      <c r="M63" t="s">
        <v>1675</v>
      </c>
      <c r="N63" t="s">
        <v>1674</v>
      </c>
      <c r="O63">
        <v>1</v>
      </c>
      <c r="P63" t="s">
        <v>1694</v>
      </c>
    </row>
    <row r="64" spans="1:16" x14ac:dyDescent="0.3">
      <c r="A64" t="s">
        <v>204</v>
      </c>
      <c r="B64" s="1">
        <v>45753</v>
      </c>
      <c r="C64" s="2">
        <v>0.38958333333333334</v>
      </c>
      <c r="D64" t="s">
        <v>205</v>
      </c>
      <c r="E64" t="s">
        <v>35</v>
      </c>
      <c r="F64" t="s">
        <v>206</v>
      </c>
      <c r="G64">
        <v>3</v>
      </c>
      <c r="H64">
        <v>18.989999999999998</v>
      </c>
      <c r="I64">
        <v>56.97</v>
      </c>
      <c r="J64" t="s">
        <v>16</v>
      </c>
      <c r="K64" t="s">
        <v>17</v>
      </c>
      <c r="L64">
        <v>1</v>
      </c>
      <c r="M64" t="s">
        <v>1679</v>
      </c>
      <c r="N64" t="s">
        <v>1674</v>
      </c>
      <c r="O64">
        <v>4</v>
      </c>
      <c r="P64" t="s">
        <v>1695</v>
      </c>
    </row>
    <row r="65" spans="1:16" x14ac:dyDescent="0.3">
      <c r="A65" t="s">
        <v>207</v>
      </c>
      <c r="B65" s="1">
        <v>45753</v>
      </c>
      <c r="C65" s="2">
        <v>0.69305555555555554</v>
      </c>
      <c r="D65" t="s">
        <v>208</v>
      </c>
      <c r="E65" t="s">
        <v>35</v>
      </c>
      <c r="F65" t="s">
        <v>209</v>
      </c>
      <c r="G65">
        <v>4</v>
      </c>
      <c r="H65">
        <v>12.99</v>
      </c>
      <c r="I65">
        <v>51.96</v>
      </c>
      <c r="J65" t="s">
        <v>16</v>
      </c>
      <c r="K65" t="s">
        <v>17</v>
      </c>
      <c r="L65">
        <v>3</v>
      </c>
      <c r="M65" t="s">
        <v>1687</v>
      </c>
      <c r="N65" t="s">
        <v>1674</v>
      </c>
      <c r="O65">
        <v>4</v>
      </c>
      <c r="P65" t="s">
        <v>1695</v>
      </c>
    </row>
    <row r="66" spans="1:16" x14ac:dyDescent="0.3">
      <c r="A66" t="s">
        <v>210</v>
      </c>
      <c r="B66" s="1">
        <v>45744</v>
      </c>
      <c r="C66" s="2">
        <v>0.56944444444444442</v>
      </c>
      <c r="D66" t="s">
        <v>211</v>
      </c>
      <c r="E66" t="s">
        <v>24</v>
      </c>
      <c r="F66" t="s">
        <v>212</v>
      </c>
      <c r="G66">
        <v>3</v>
      </c>
      <c r="H66">
        <v>43.77</v>
      </c>
      <c r="I66">
        <v>131.31</v>
      </c>
      <c r="J66" t="s">
        <v>16</v>
      </c>
      <c r="K66" t="s">
        <v>17</v>
      </c>
      <c r="L66">
        <v>3</v>
      </c>
      <c r="M66" t="s">
        <v>1688</v>
      </c>
      <c r="N66" t="s">
        <v>1674</v>
      </c>
      <c r="O66">
        <v>3</v>
      </c>
      <c r="P66" t="s">
        <v>1693</v>
      </c>
    </row>
    <row r="67" spans="1:16" x14ac:dyDescent="0.3">
      <c r="A67" t="s">
        <v>213</v>
      </c>
      <c r="B67" s="1">
        <v>45733</v>
      </c>
      <c r="C67" s="2">
        <v>0.70416666666666672</v>
      </c>
      <c r="D67" t="s">
        <v>214</v>
      </c>
      <c r="E67" t="s">
        <v>20</v>
      </c>
      <c r="F67" t="s">
        <v>215</v>
      </c>
      <c r="G67">
        <v>1</v>
      </c>
      <c r="H67">
        <v>26.17</v>
      </c>
      <c r="I67">
        <v>26.17</v>
      </c>
      <c r="J67" t="s">
        <v>16</v>
      </c>
      <c r="K67" t="s">
        <v>17</v>
      </c>
      <c r="L67">
        <v>5</v>
      </c>
      <c r="M67" t="s">
        <v>1687</v>
      </c>
      <c r="N67" t="s">
        <v>1674</v>
      </c>
      <c r="O67">
        <v>3</v>
      </c>
      <c r="P67" t="s">
        <v>1693</v>
      </c>
    </row>
    <row r="68" spans="1:16" x14ac:dyDescent="0.3">
      <c r="A68" t="s">
        <v>216</v>
      </c>
      <c r="B68" s="1">
        <v>45798</v>
      </c>
      <c r="C68" s="2">
        <v>0.5625</v>
      </c>
      <c r="D68" t="s">
        <v>217</v>
      </c>
      <c r="E68" t="s">
        <v>20</v>
      </c>
      <c r="F68" t="s">
        <v>218</v>
      </c>
      <c r="G68">
        <v>6</v>
      </c>
      <c r="H68">
        <v>11.89</v>
      </c>
      <c r="I68">
        <v>71.34</v>
      </c>
      <c r="J68" t="s">
        <v>16</v>
      </c>
      <c r="K68" t="s">
        <v>17</v>
      </c>
      <c r="L68">
        <v>1</v>
      </c>
      <c r="M68" t="s">
        <v>1688</v>
      </c>
      <c r="N68" t="s">
        <v>1674</v>
      </c>
      <c r="O68">
        <v>5</v>
      </c>
      <c r="P68" t="s">
        <v>1696</v>
      </c>
    </row>
    <row r="69" spans="1:16" x14ac:dyDescent="0.3">
      <c r="A69" t="s">
        <v>219</v>
      </c>
      <c r="B69" s="1">
        <v>45735</v>
      </c>
      <c r="C69" s="2">
        <v>0.65416666666666667</v>
      </c>
      <c r="D69" t="s">
        <v>220</v>
      </c>
      <c r="E69" t="s">
        <v>24</v>
      </c>
      <c r="F69" t="s">
        <v>221</v>
      </c>
      <c r="G69">
        <v>1</v>
      </c>
      <c r="H69">
        <v>34.81</v>
      </c>
      <c r="I69">
        <v>34.81</v>
      </c>
      <c r="J69" t="s">
        <v>16</v>
      </c>
      <c r="K69" t="s">
        <v>17</v>
      </c>
      <c r="L69">
        <v>2</v>
      </c>
      <c r="M69" t="s">
        <v>1677</v>
      </c>
      <c r="N69" t="s">
        <v>1674</v>
      </c>
      <c r="O69">
        <v>3</v>
      </c>
      <c r="P69" t="s">
        <v>1693</v>
      </c>
    </row>
    <row r="70" spans="1:16" x14ac:dyDescent="0.3">
      <c r="A70" t="s">
        <v>222</v>
      </c>
      <c r="B70" s="1">
        <v>45742</v>
      </c>
      <c r="C70" s="2">
        <v>0.5</v>
      </c>
      <c r="D70" t="s">
        <v>223</v>
      </c>
      <c r="E70" t="s">
        <v>45</v>
      </c>
      <c r="F70" t="s">
        <v>224</v>
      </c>
      <c r="G70">
        <v>1</v>
      </c>
      <c r="H70">
        <v>35.22</v>
      </c>
      <c r="I70">
        <v>35.22</v>
      </c>
      <c r="J70" t="s">
        <v>16</v>
      </c>
      <c r="K70" t="s">
        <v>17</v>
      </c>
      <c r="L70">
        <v>4</v>
      </c>
      <c r="M70" t="s">
        <v>1674</v>
      </c>
      <c r="N70" t="s">
        <v>1674</v>
      </c>
      <c r="O70">
        <v>3</v>
      </c>
      <c r="P70" t="s">
        <v>1693</v>
      </c>
    </row>
    <row r="71" spans="1:16" x14ac:dyDescent="0.3">
      <c r="A71" t="s">
        <v>225</v>
      </c>
      <c r="B71" s="1">
        <v>45661</v>
      </c>
      <c r="C71" s="2">
        <v>0.87152777777777779</v>
      </c>
      <c r="D71" t="s">
        <v>226</v>
      </c>
      <c r="E71" t="s">
        <v>20</v>
      </c>
      <c r="F71" t="s">
        <v>227</v>
      </c>
      <c r="G71">
        <v>6</v>
      </c>
      <c r="H71">
        <v>28.62</v>
      </c>
      <c r="I71">
        <v>171.72</v>
      </c>
      <c r="J71" t="s">
        <v>16</v>
      </c>
      <c r="K71" t="s">
        <v>17</v>
      </c>
      <c r="L71">
        <v>5</v>
      </c>
      <c r="M71" t="s">
        <v>1681</v>
      </c>
      <c r="N71" t="s">
        <v>1674</v>
      </c>
      <c r="O71">
        <v>1</v>
      </c>
      <c r="P71" t="s">
        <v>1694</v>
      </c>
    </row>
    <row r="72" spans="1:16" x14ac:dyDescent="0.3">
      <c r="A72" t="s">
        <v>228</v>
      </c>
      <c r="B72" s="1">
        <v>45715</v>
      </c>
      <c r="C72" s="2">
        <v>0.82986111111111116</v>
      </c>
      <c r="D72" t="s">
        <v>229</v>
      </c>
      <c r="E72" t="s">
        <v>20</v>
      </c>
      <c r="F72" t="s">
        <v>230</v>
      </c>
      <c r="G72">
        <v>3</v>
      </c>
      <c r="H72">
        <v>28.36</v>
      </c>
      <c r="I72">
        <v>85.08</v>
      </c>
      <c r="J72" t="s">
        <v>16</v>
      </c>
      <c r="K72" t="s">
        <v>17</v>
      </c>
      <c r="L72">
        <v>1</v>
      </c>
      <c r="M72" t="s">
        <v>1683</v>
      </c>
      <c r="N72" t="s">
        <v>1674</v>
      </c>
      <c r="O72">
        <v>2</v>
      </c>
      <c r="P72" t="s">
        <v>1692</v>
      </c>
    </row>
    <row r="73" spans="1:16" x14ac:dyDescent="0.3">
      <c r="A73" t="s">
        <v>231</v>
      </c>
      <c r="B73" s="1">
        <v>45768</v>
      </c>
      <c r="C73" s="2">
        <v>0.82361111111111107</v>
      </c>
      <c r="D73" t="s">
        <v>232</v>
      </c>
      <c r="E73" t="s">
        <v>20</v>
      </c>
      <c r="F73" t="s">
        <v>233</v>
      </c>
      <c r="G73">
        <v>2</v>
      </c>
      <c r="H73">
        <v>26.69</v>
      </c>
      <c r="I73">
        <v>53.38</v>
      </c>
      <c r="J73" t="s">
        <v>16</v>
      </c>
      <c r="K73" t="s">
        <v>17</v>
      </c>
      <c r="L73">
        <v>4</v>
      </c>
      <c r="M73" t="s">
        <v>1683</v>
      </c>
      <c r="N73" t="s">
        <v>1674</v>
      </c>
      <c r="O73">
        <v>4</v>
      </c>
      <c r="P73" t="s">
        <v>1695</v>
      </c>
    </row>
    <row r="74" spans="1:16" x14ac:dyDescent="0.3">
      <c r="A74" t="s">
        <v>234</v>
      </c>
      <c r="B74" s="1">
        <v>45744</v>
      </c>
      <c r="C74" s="2">
        <v>0.45</v>
      </c>
      <c r="D74" t="s">
        <v>235</v>
      </c>
      <c r="E74" t="s">
        <v>20</v>
      </c>
      <c r="F74" t="s">
        <v>236</v>
      </c>
      <c r="G74">
        <v>4</v>
      </c>
      <c r="H74">
        <v>7.09</v>
      </c>
      <c r="I74">
        <v>28.36</v>
      </c>
      <c r="J74" t="s">
        <v>16</v>
      </c>
      <c r="K74" t="s">
        <v>17</v>
      </c>
      <c r="L74">
        <v>1</v>
      </c>
      <c r="M74" t="s">
        <v>1685</v>
      </c>
      <c r="N74" t="s">
        <v>1674</v>
      </c>
      <c r="O74">
        <v>3</v>
      </c>
      <c r="P74" t="s">
        <v>1693</v>
      </c>
    </row>
    <row r="75" spans="1:16" x14ac:dyDescent="0.3">
      <c r="A75" t="s">
        <v>237</v>
      </c>
      <c r="B75" s="1">
        <v>45702</v>
      </c>
      <c r="C75" s="2">
        <v>0.86944444444444446</v>
      </c>
      <c r="D75" t="s">
        <v>238</v>
      </c>
      <c r="E75" t="s">
        <v>20</v>
      </c>
      <c r="F75" t="s">
        <v>239</v>
      </c>
      <c r="G75">
        <v>2</v>
      </c>
      <c r="H75">
        <v>9.66</v>
      </c>
      <c r="I75">
        <v>19.32</v>
      </c>
      <c r="J75" t="s">
        <v>16</v>
      </c>
      <c r="K75" t="s">
        <v>17</v>
      </c>
      <c r="L75">
        <v>3</v>
      </c>
      <c r="M75" t="s">
        <v>1681</v>
      </c>
      <c r="N75" t="s">
        <v>1674</v>
      </c>
      <c r="O75">
        <v>2</v>
      </c>
      <c r="P75" t="s">
        <v>1692</v>
      </c>
    </row>
    <row r="76" spans="1:16" x14ac:dyDescent="0.3">
      <c r="A76" t="s">
        <v>240</v>
      </c>
      <c r="B76" s="1">
        <v>45745</v>
      </c>
      <c r="C76" s="2">
        <v>0.56111111111111112</v>
      </c>
      <c r="D76" t="s">
        <v>241</v>
      </c>
      <c r="E76" t="s">
        <v>31</v>
      </c>
      <c r="F76" t="s">
        <v>242</v>
      </c>
      <c r="G76">
        <v>2</v>
      </c>
      <c r="H76">
        <v>11.22</v>
      </c>
      <c r="I76">
        <v>22.44</v>
      </c>
      <c r="J76" t="s">
        <v>16</v>
      </c>
      <c r="K76" t="s">
        <v>17</v>
      </c>
      <c r="L76">
        <v>5</v>
      </c>
      <c r="M76" t="s">
        <v>1688</v>
      </c>
      <c r="N76" t="s">
        <v>1674</v>
      </c>
      <c r="O76">
        <v>3</v>
      </c>
      <c r="P76" t="s">
        <v>1693</v>
      </c>
    </row>
    <row r="77" spans="1:16" x14ac:dyDescent="0.3">
      <c r="A77" t="s">
        <v>243</v>
      </c>
      <c r="B77" s="1">
        <v>45734</v>
      </c>
      <c r="C77" s="2">
        <v>0.94722222222222219</v>
      </c>
      <c r="D77" t="s">
        <v>244</v>
      </c>
      <c r="E77" t="s">
        <v>20</v>
      </c>
      <c r="F77" t="s">
        <v>245</v>
      </c>
      <c r="G77">
        <v>5</v>
      </c>
      <c r="H77">
        <v>43.73</v>
      </c>
      <c r="I77">
        <v>218.65</v>
      </c>
      <c r="J77" t="s">
        <v>16</v>
      </c>
      <c r="K77" t="s">
        <v>17</v>
      </c>
      <c r="L77">
        <v>2</v>
      </c>
      <c r="M77" t="s">
        <v>1680</v>
      </c>
      <c r="N77" t="s">
        <v>1674</v>
      </c>
      <c r="O77">
        <v>3</v>
      </c>
      <c r="P77" t="s">
        <v>1693</v>
      </c>
    </row>
    <row r="78" spans="1:16" x14ac:dyDescent="0.3">
      <c r="A78" t="s">
        <v>246</v>
      </c>
      <c r="B78" s="1">
        <v>45815</v>
      </c>
      <c r="C78" s="2">
        <v>0.94652777777777775</v>
      </c>
      <c r="D78" t="s">
        <v>247</v>
      </c>
      <c r="E78" t="s">
        <v>14</v>
      </c>
      <c r="F78" t="s">
        <v>239</v>
      </c>
      <c r="G78">
        <v>6</v>
      </c>
      <c r="H78">
        <v>30.28</v>
      </c>
      <c r="I78">
        <v>181.68</v>
      </c>
      <c r="J78" t="s">
        <v>16</v>
      </c>
      <c r="K78" t="s">
        <v>17</v>
      </c>
      <c r="L78">
        <v>5</v>
      </c>
      <c r="M78" t="s">
        <v>1680</v>
      </c>
      <c r="N78" t="s">
        <v>1674</v>
      </c>
      <c r="O78">
        <v>6</v>
      </c>
      <c r="P78" t="s">
        <v>1697</v>
      </c>
    </row>
    <row r="79" spans="1:16" x14ac:dyDescent="0.3">
      <c r="A79" t="s">
        <v>248</v>
      </c>
      <c r="B79" s="1">
        <v>45709</v>
      </c>
      <c r="C79" s="2">
        <v>0.78819444444444442</v>
      </c>
      <c r="D79" t="s">
        <v>249</v>
      </c>
      <c r="E79" t="s">
        <v>20</v>
      </c>
      <c r="F79" t="s">
        <v>250</v>
      </c>
      <c r="G79">
        <v>4</v>
      </c>
      <c r="H79">
        <v>42.35</v>
      </c>
      <c r="I79">
        <v>169.4</v>
      </c>
      <c r="J79" t="s">
        <v>16</v>
      </c>
      <c r="K79" t="s">
        <v>17</v>
      </c>
      <c r="L79">
        <v>3</v>
      </c>
      <c r="M79" t="s">
        <v>1682</v>
      </c>
      <c r="N79" t="s">
        <v>1674</v>
      </c>
      <c r="O79">
        <v>2</v>
      </c>
      <c r="P79" t="s">
        <v>1692</v>
      </c>
    </row>
    <row r="80" spans="1:16" x14ac:dyDescent="0.3">
      <c r="A80" t="s">
        <v>251</v>
      </c>
      <c r="B80" s="1">
        <v>45730</v>
      </c>
      <c r="C80" s="2">
        <v>0.4152777777777778</v>
      </c>
      <c r="D80" t="s">
        <v>252</v>
      </c>
      <c r="E80" t="s">
        <v>24</v>
      </c>
      <c r="F80" t="s">
        <v>253</v>
      </c>
      <c r="G80">
        <v>5</v>
      </c>
      <c r="H80">
        <v>41.99</v>
      </c>
      <c r="I80">
        <v>209.95</v>
      </c>
      <c r="J80" t="s">
        <v>16</v>
      </c>
      <c r="K80" t="s">
        <v>17</v>
      </c>
      <c r="L80">
        <v>4</v>
      </c>
      <c r="M80" t="s">
        <v>1679</v>
      </c>
      <c r="N80" t="s">
        <v>1674</v>
      </c>
      <c r="O80">
        <v>3</v>
      </c>
      <c r="P80" t="s">
        <v>1693</v>
      </c>
    </row>
    <row r="81" spans="1:16" x14ac:dyDescent="0.3">
      <c r="A81" t="s">
        <v>254</v>
      </c>
      <c r="B81" s="1">
        <v>45682</v>
      </c>
      <c r="C81" s="2">
        <v>0.62083333333333335</v>
      </c>
      <c r="D81" t="s">
        <v>255</v>
      </c>
      <c r="E81" t="s">
        <v>45</v>
      </c>
      <c r="F81" t="s">
        <v>256</v>
      </c>
      <c r="G81">
        <v>3</v>
      </c>
      <c r="H81">
        <v>32.17</v>
      </c>
      <c r="I81">
        <v>96.51</v>
      </c>
      <c r="J81" t="s">
        <v>16</v>
      </c>
      <c r="K81" t="s">
        <v>36</v>
      </c>
      <c r="L81">
        <v>5</v>
      </c>
      <c r="M81" t="s">
        <v>1684</v>
      </c>
      <c r="N81" t="s">
        <v>1674</v>
      </c>
      <c r="O81">
        <v>1</v>
      </c>
      <c r="P81" t="s">
        <v>1694</v>
      </c>
    </row>
    <row r="82" spans="1:16" x14ac:dyDescent="0.3">
      <c r="A82" t="s">
        <v>257</v>
      </c>
      <c r="B82" s="1">
        <v>45689</v>
      </c>
      <c r="C82" s="2">
        <v>0.97499999999999998</v>
      </c>
      <c r="D82" t="s">
        <v>258</v>
      </c>
      <c r="E82" t="s">
        <v>20</v>
      </c>
      <c r="F82" t="s">
        <v>259</v>
      </c>
      <c r="G82">
        <v>1</v>
      </c>
      <c r="H82">
        <v>29.84</v>
      </c>
      <c r="I82">
        <v>29.84</v>
      </c>
      <c r="J82" t="s">
        <v>16</v>
      </c>
      <c r="K82" t="s">
        <v>36</v>
      </c>
      <c r="L82">
        <v>5</v>
      </c>
      <c r="M82" t="s">
        <v>1678</v>
      </c>
      <c r="N82" t="s">
        <v>1674</v>
      </c>
      <c r="O82">
        <v>2</v>
      </c>
      <c r="P82" t="s">
        <v>1692</v>
      </c>
    </row>
    <row r="83" spans="1:16" x14ac:dyDescent="0.3">
      <c r="A83" t="s">
        <v>260</v>
      </c>
      <c r="B83" s="1">
        <v>45799</v>
      </c>
      <c r="C83" s="2">
        <v>0.91666666666666663</v>
      </c>
      <c r="D83" t="s">
        <v>261</v>
      </c>
      <c r="E83" t="s">
        <v>20</v>
      </c>
      <c r="F83" t="s">
        <v>262</v>
      </c>
      <c r="G83">
        <v>6</v>
      </c>
      <c r="H83">
        <v>37.43</v>
      </c>
      <c r="I83">
        <v>224.58</v>
      </c>
      <c r="J83" t="s">
        <v>16</v>
      </c>
      <c r="K83" t="s">
        <v>36</v>
      </c>
      <c r="L83">
        <v>3</v>
      </c>
      <c r="M83" t="s">
        <v>1680</v>
      </c>
      <c r="N83" t="s">
        <v>1674</v>
      </c>
      <c r="O83">
        <v>5</v>
      </c>
      <c r="P83" t="s">
        <v>1696</v>
      </c>
    </row>
    <row r="84" spans="1:16" x14ac:dyDescent="0.3">
      <c r="A84" t="s">
        <v>263</v>
      </c>
      <c r="B84" s="1">
        <v>45686</v>
      </c>
      <c r="C84" s="2">
        <v>0.56041666666666667</v>
      </c>
      <c r="D84" t="s">
        <v>264</v>
      </c>
      <c r="E84" t="s">
        <v>20</v>
      </c>
      <c r="F84" t="s">
        <v>265</v>
      </c>
      <c r="G84">
        <v>2</v>
      </c>
      <c r="H84">
        <v>25.42</v>
      </c>
      <c r="I84">
        <v>50.84</v>
      </c>
      <c r="J84" t="s">
        <v>16</v>
      </c>
      <c r="K84" t="s">
        <v>36</v>
      </c>
      <c r="L84">
        <v>5</v>
      </c>
      <c r="M84" t="s">
        <v>1688</v>
      </c>
      <c r="N84" t="s">
        <v>1674</v>
      </c>
      <c r="O84">
        <v>1</v>
      </c>
      <c r="P84" t="s">
        <v>1694</v>
      </c>
    </row>
    <row r="85" spans="1:16" x14ac:dyDescent="0.3">
      <c r="A85" t="s">
        <v>266</v>
      </c>
      <c r="B85" s="1">
        <v>45834</v>
      </c>
      <c r="C85" s="2">
        <v>0.53125</v>
      </c>
      <c r="D85" t="s">
        <v>267</v>
      </c>
      <c r="E85" t="s">
        <v>20</v>
      </c>
      <c r="F85" t="s">
        <v>268</v>
      </c>
      <c r="G85">
        <v>3</v>
      </c>
      <c r="H85">
        <v>22.95</v>
      </c>
      <c r="I85">
        <v>68.849999999999994</v>
      </c>
      <c r="J85" t="s">
        <v>16</v>
      </c>
      <c r="K85" t="s">
        <v>36</v>
      </c>
      <c r="L85">
        <v>4</v>
      </c>
      <c r="M85" t="s">
        <v>1674</v>
      </c>
      <c r="N85" t="s">
        <v>1674</v>
      </c>
      <c r="O85">
        <v>6</v>
      </c>
      <c r="P85" t="s">
        <v>1697</v>
      </c>
    </row>
    <row r="86" spans="1:16" x14ac:dyDescent="0.3">
      <c r="A86" t="s">
        <v>269</v>
      </c>
      <c r="B86" s="1">
        <v>45666</v>
      </c>
      <c r="C86" s="2">
        <v>0.93125000000000002</v>
      </c>
      <c r="D86" t="s">
        <v>270</v>
      </c>
      <c r="E86" t="s">
        <v>24</v>
      </c>
      <c r="F86" t="s">
        <v>15</v>
      </c>
      <c r="G86">
        <v>1</v>
      </c>
      <c r="H86">
        <v>28.14</v>
      </c>
      <c r="I86">
        <v>28.14</v>
      </c>
      <c r="J86" t="s">
        <v>16</v>
      </c>
      <c r="K86" t="s">
        <v>36</v>
      </c>
      <c r="L86">
        <v>2</v>
      </c>
      <c r="M86" t="s">
        <v>1680</v>
      </c>
      <c r="N86" t="s">
        <v>1674</v>
      </c>
      <c r="O86">
        <v>1</v>
      </c>
      <c r="P86" t="s">
        <v>1694</v>
      </c>
    </row>
    <row r="87" spans="1:16" x14ac:dyDescent="0.3">
      <c r="A87" t="s">
        <v>271</v>
      </c>
      <c r="B87" s="1">
        <v>45711</v>
      </c>
      <c r="C87" s="2">
        <v>0.84791666666666665</v>
      </c>
      <c r="D87" t="s">
        <v>272</v>
      </c>
      <c r="E87" t="s">
        <v>24</v>
      </c>
      <c r="F87" t="s">
        <v>273</v>
      </c>
      <c r="G87">
        <v>2</v>
      </c>
      <c r="H87">
        <v>35.94</v>
      </c>
      <c r="I87">
        <v>71.88</v>
      </c>
      <c r="J87" t="s">
        <v>16</v>
      </c>
      <c r="K87" t="s">
        <v>36</v>
      </c>
      <c r="L87">
        <v>3</v>
      </c>
      <c r="M87" t="s">
        <v>1681</v>
      </c>
      <c r="N87" t="s">
        <v>1674</v>
      </c>
      <c r="O87">
        <v>2</v>
      </c>
      <c r="P87" t="s">
        <v>1692</v>
      </c>
    </row>
    <row r="88" spans="1:16" x14ac:dyDescent="0.3">
      <c r="A88" t="s">
        <v>274</v>
      </c>
      <c r="B88" s="1">
        <v>45734</v>
      </c>
      <c r="C88" s="2">
        <v>0.72152777777777777</v>
      </c>
      <c r="D88" t="s">
        <v>275</v>
      </c>
      <c r="E88" t="s">
        <v>35</v>
      </c>
      <c r="F88" t="s">
        <v>276</v>
      </c>
      <c r="G88">
        <v>6</v>
      </c>
      <c r="H88">
        <v>23.38</v>
      </c>
      <c r="I88">
        <v>140.28</v>
      </c>
      <c r="J88" t="s">
        <v>16</v>
      </c>
      <c r="K88" t="s">
        <v>36</v>
      </c>
      <c r="L88">
        <v>5</v>
      </c>
      <c r="M88" t="s">
        <v>1676</v>
      </c>
      <c r="N88" t="s">
        <v>1674</v>
      </c>
      <c r="O88">
        <v>3</v>
      </c>
      <c r="P88" t="s">
        <v>1693</v>
      </c>
    </row>
    <row r="89" spans="1:16" x14ac:dyDescent="0.3">
      <c r="A89" t="s">
        <v>277</v>
      </c>
      <c r="B89" s="1">
        <v>45685</v>
      </c>
      <c r="C89" s="2">
        <v>0.89375000000000004</v>
      </c>
      <c r="D89" t="s">
        <v>278</v>
      </c>
      <c r="E89" t="s">
        <v>20</v>
      </c>
      <c r="F89" t="s">
        <v>279</v>
      </c>
      <c r="G89">
        <v>2</v>
      </c>
      <c r="H89">
        <v>12.91</v>
      </c>
      <c r="I89">
        <v>25.82</v>
      </c>
      <c r="J89" t="s">
        <v>16</v>
      </c>
      <c r="K89" t="s">
        <v>36</v>
      </c>
      <c r="L89">
        <v>1</v>
      </c>
      <c r="M89" t="s">
        <v>1686</v>
      </c>
      <c r="N89" t="s">
        <v>1674</v>
      </c>
      <c r="O89">
        <v>1</v>
      </c>
      <c r="P89" t="s">
        <v>1694</v>
      </c>
    </row>
    <row r="90" spans="1:16" x14ac:dyDescent="0.3">
      <c r="A90" t="s">
        <v>280</v>
      </c>
      <c r="B90" s="1">
        <v>45810</v>
      </c>
      <c r="C90" s="2">
        <v>0.6166666666666667</v>
      </c>
      <c r="D90" t="s">
        <v>281</v>
      </c>
      <c r="E90" t="s">
        <v>20</v>
      </c>
      <c r="F90" t="s">
        <v>282</v>
      </c>
      <c r="G90">
        <v>4</v>
      </c>
      <c r="H90">
        <v>32.57</v>
      </c>
      <c r="I90">
        <v>130.28</v>
      </c>
      <c r="J90" t="s">
        <v>16</v>
      </c>
      <c r="K90" t="s">
        <v>36</v>
      </c>
      <c r="L90">
        <v>5</v>
      </c>
      <c r="M90" t="s">
        <v>1684</v>
      </c>
      <c r="N90" t="s">
        <v>1674</v>
      </c>
      <c r="O90">
        <v>6</v>
      </c>
      <c r="P90" t="s">
        <v>1697</v>
      </c>
    </row>
    <row r="91" spans="1:16" x14ac:dyDescent="0.3">
      <c r="A91" t="s">
        <v>283</v>
      </c>
      <c r="B91" s="1">
        <v>45791</v>
      </c>
      <c r="C91" s="2">
        <v>0.69444444444444442</v>
      </c>
      <c r="D91" t="s">
        <v>284</v>
      </c>
      <c r="E91" t="s">
        <v>45</v>
      </c>
      <c r="F91" t="s">
        <v>285</v>
      </c>
      <c r="G91">
        <v>2</v>
      </c>
      <c r="H91">
        <v>17.36</v>
      </c>
      <c r="I91">
        <v>34.72</v>
      </c>
      <c r="J91" t="s">
        <v>16</v>
      </c>
      <c r="K91" t="s">
        <v>36</v>
      </c>
      <c r="L91">
        <v>2</v>
      </c>
      <c r="M91" t="s">
        <v>1687</v>
      </c>
      <c r="N91" t="s">
        <v>1674</v>
      </c>
      <c r="O91">
        <v>5</v>
      </c>
      <c r="P91" t="s">
        <v>1696</v>
      </c>
    </row>
    <row r="92" spans="1:16" x14ac:dyDescent="0.3">
      <c r="A92" t="s">
        <v>286</v>
      </c>
      <c r="B92" s="1">
        <v>45688</v>
      </c>
      <c r="C92" s="2">
        <v>0.9</v>
      </c>
      <c r="D92" t="s">
        <v>287</v>
      </c>
      <c r="E92" t="s">
        <v>35</v>
      </c>
      <c r="F92" t="s">
        <v>288</v>
      </c>
      <c r="G92">
        <v>1</v>
      </c>
      <c r="H92">
        <v>20.62</v>
      </c>
      <c r="I92">
        <v>20.62</v>
      </c>
      <c r="J92" t="s">
        <v>16</v>
      </c>
      <c r="K92" t="s">
        <v>36</v>
      </c>
      <c r="L92">
        <v>1</v>
      </c>
      <c r="M92" t="s">
        <v>1686</v>
      </c>
      <c r="N92" t="s">
        <v>1674</v>
      </c>
      <c r="O92">
        <v>1</v>
      </c>
      <c r="P92" t="s">
        <v>1694</v>
      </c>
    </row>
    <row r="93" spans="1:16" x14ac:dyDescent="0.3">
      <c r="A93" t="s">
        <v>289</v>
      </c>
      <c r="B93" s="1">
        <v>45782</v>
      </c>
      <c r="C93" s="2">
        <v>0.51527777777777772</v>
      </c>
      <c r="D93" t="s">
        <v>290</v>
      </c>
      <c r="E93" t="s">
        <v>31</v>
      </c>
      <c r="F93" t="s">
        <v>285</v>
      </c>
      <c r="G93">
        <v>3</v>
      </c>
      <c r="H93">
        <v>20.32</v>
      </c>
      <c r="I93">
        <v>60.96</v>
      </c>
      <c r="J93" t="s">
        <v>16</v>
      </c>
      <c r="K93" t="s">
        <v>36</v>
      </c>
      <c r="L93">
        <v>5</v>
      </c>
      <c r="M93" t="s">
        <v>1674</v>
      </c>
      <c r="N93" t="s">
        <v>1674</v>
      </c>
      <c r="O93">
        <v>5</v>
      </c>
      <c r="P93" t="s">
        <v>1696</v>
      </c>
    </row>
    <row r="94" spans="1:16" x14ac:dyDescent="0.3">
      <c r="A94" t="s">
        <v>291</v>
      </c>
      <c r="B94" s="1">
        <v>45687</v>
      </c>
      <c r="C94" s="2">
        <v>0.67152777777777772</v>
      </c>
      <c r="D94" t="s">
        <v>292</v>
      </c>
      <c r="E94" t="s">
        <v>35</v>
      </c>
      <c r="F94" t="s">
        <v>293</v>
      </c>
      <c r="G94">
        <v>6</v>
      </c>
      <c r="H94">
        <v>42.45</v>
      </c>
      <c r="I94">
        <v>254.7</v>
      </c>
      <c r="J94" t="s">
        <v>16</v>
      </c>
      <c r="K94" t="s">
        <v>36</v>
      </c>
      <c r="L94">
        <v>5</v>
      </c>
      <c r="M94" t="s">
        <v>1687</v>
      </c>
      <c r="N94" t="s">
        <v>1674</v>
      </c>
      <c r="O94">
        <v>1</v>
      </c>
      <c r="P94" t="s">
        <v>1694</v>
      </c>
    </row>
    <row r="95" spans="1:16" x14ac:dyDescent="0.3">
      <c r="A95" t="s">
        <v>294</v>
      </c>
      <c r="B95" s="1">
        <v>45808</v>
      </c>
      <c r="C95" s="2">
        <v>0.77916666666666667</v>
      </c>
      <c r="D95" t="s">
        <v>295</v>
      </c>
      <c r="E95" t="s">
        <v>35</v>
      </c>
      <c r="F95" t="s">
        <v>296</v>
      </c>
      <c r="G95">
        <v>4</v>
      </c>
      <c r="H95">
        <v>43.94</v>
      </c>
      <c r="I95">
        <v>175.76</v>
      </c>
      <c r="J95" t="s">
        <v>16</v>
      </c>
      <c r="K95" t="s">
        <v>36</v>
      </c>
      <c r="L95">
        <v>3</v>
      </c>
      <c r="M95" t="s">
        <v>1682</v>
      </c>
      <c r="N95" t="s">
        <v>1674</v>
      </c>
      <c r="O95">
        <v>5</v>
      </c>
      <c r="P95" t="s">
        <v>1696</v>
      </c>
    </row>
    <row r="96" spans="1:16" x14ac:dyDescent="0.3">
      <c r="A96" t="s">
        <v>297</v>
      </c>
      <c r="B96" s="1">
        <v>45763</v>
      </c>
      <c r="C96" s="2">
        <v>0.77986111111111112</v>
      </c>
      <c r="D96" t="s">
        <v>298</v>
      </c>
      <c r="E96" t="s">
        <v>45</v>
      </c>
      <c r="F96" t="s">
        <v>299</v>
      </c>
      <c r="G96">
        <v>2</v>
      </c>
      <c r="H96">
        <v>12.65</v>
      </c>
      <c r="I96">
        <v>25.3</v>
      </c>
      <c r="J96" t="s">
        <v>16</v>
      </c>
      <c r="K96" t="s">
        <v>36</v>
      </c>
      <c r="L96">
        <v>5</v>
      </c>
      <c r="M96" t="s">
        <v>1682</v>
      </c>
      <c r="N96" t="s">
        <v>1674</v>
      </c>
      <c r="O96">
        <v>4</v>
      </c>
      <c r="P96" t="s">
        <v>1695</v>
      </c>
    </row>
    <row r="97" spans="1:16" x14ac:dyDescent="0.3">
      <c r="A97" t="s">
        <v>300</v>
      </c>
      <c r="B97" s="1">
        <v>45832</v>
      </c>
      <c r="C97" s="2">
        <v>0.52152777777777781</v>
      </c>
      <c r="D97" t="s">
        <v>301</v>
      </c>
      <c r="E97" t="s">
        <v>35</v>
      </c>
      <c r="F97" t="s">
        <v>302</v>
      </c>
      <c r="G97">
        <v>5</v>
      </c>
      <c r="H97">
        <v>11.44</v>
      </c>
      <c r="I97">
        <v>57.2</v>
      </c>
      <c r="J97" t="s">
        <v>16</v>
      </c>
      <c r="K97" t="s">
        <v>36</v>
      </c>
      <c r="L97">
        <v>4</v>
      </c>
      <c r="M97" t="s">
        <v>1674</v>
      </c>
      <c r="N97" t="s">
        <v>1674</v>
      </c>
      <c r="O97">
        <v>6</v>
      </c>
      <c r="P97" t="s">
        <v>1697</v>
      </c>
    </row>
    <row r="98" spans="1:16" x14ac:dyDescent="0.3">
      <c r="A98" t="s">
        <v>303</v>
      </c>
      <c r="B98" s="1">
        <v>45771</v>
      </c>
      <c r="C98" s="2">
        <v>0.60902777777777772</v>
      </c>
      <c r="D98" t="s">
        <v>304</v>
      </c>
      <c r="E98" t="s">
        <v>35</v>
      </c>
      <c r="F98" t="s">
        <v>305</v>
      </c>
      <c r="G98">
        <v>3</v>
      </c>
      <c r="H98">
        <v>33.75</v>
      </c>
      <c r="I98">
        <v>101.25</v>
      </c>
      <c r="J98" t="s">
        <v>16</v>
      </c>
      <c r="K98" t="s">
        <v>36</v>
      </c>
      <c r="L98">
        <v>4</v>
      </c>
      <c r="M98" t="s">
        <v>1684</v>
      </c>
      <c r="N98" t="s">
        <v>1674</v>
      </c>
      <c r="O98">
        <v>4</v>
      </c>
      <c r="P98" t="s">
        <v>1695</v>
      </c>
    </row>
    <row r="99" spans="1:16" x14ac:dyDescent="0.3">
      <c r="A99" t="s">
        <v>306</v>
      </c>
      <c r="B99" s="1">
        <v>45735</v>
      </c>
      <c r="C99" s="2">
        <v>0.51666666666666672</v>
      </c>
      <c r="D99" t="s">
        <v>307</v>
      </c>
      <c r="E99" t="s">
        <v>35</v>
      </c>
      <c r="F99" t="s">
        <v>198</v>
      </c>
      <c r="G99">
        <v>4</v>
      </c>
      <c r="H99">
        <v>9.8000000000000007</v>
      </c>
      <c r="I99">
        <v>39.200000000000003</v>
      </c>
      <c r="J99" t="s">
        <v>16</v>
      </c>
      <c r="K99" t="s">
        <v>36</v>
      </c>
      <c r="L99">
        <v>5</v>
      </c>
      <c r="M99" t="s">
        <v>1674</v>
      </c>
      <c r="N99" t="s">
        <v>1674</v>
      </c>
      <c r="O99">
        <v>3</v>
      </c>
      <c r="P99" t="s">
        <v>1693</v>
      </c>
    </row>
    <row r="100" spans="1:16" x14ac:dyDescent="0.3">
      <c r="A100" t="s">
        <v>308</v>
      </c>
      <c r="B100" s="1">
        <v>45802</v>
      </c>
      <c r="C100" s="2">
        <v>0.94652777777777775</v>
      </c>
      <c r="D100" t="s">
        <v>309</v>
      </c>
      <c r="E100" t="s">
        <v>31</v>
      </c>
      <c r="F100" t="s">
        <v>310</v>
      </c>
      <c r="G100">
        <v>6</v>
      </c>
      <c r="H100">
        <v>48.81</v>
      </c>
      <c r="I100">
        <v>292.86</v>
      </c>
      <c r="J100" t="s">
        <v>16</v>
      </c>
      <c r="K100" t="s">
        <v>36</v>
      </c>
      <c r="L100">
        <v>3</v>
      </c>
      <c r="M100" t="s">
        <v>1680</v>
      </c>
      <c r="N100" t="s">
        <v>1674</v>
      </c>
      <c r="O100">
        <v>5</v>
      </c>
      <c r="P100" t="s">
        <v>1696</v>
      </c>
    </row>
    <row r="101" spans="1:16" x14ac:dyDescent="0.3">
      <c r="A101" t="s">
        <v>311</v>
      </c>
      <c r="B101" s="1">
        <v>45716</v>
      </c>
      <c r="C101" s="2">
        <v>0.78541666666666665</v>
      </c>
      <c r="D101" t="s">
        <v>312</v>
      </c>
      <c r="E101" t="s">
        <v>14</v>
      </c>
      <c r="F101" t="s">
        <v>313</v>
      </c>
      <c r="G101">
        <v>3</v>
      </c>
      <c r="H101">
        <v>14.86</v>
      </c>
      <c r="I101">
        <v>44.58</v>
      </c>
      <c r="J101" t="s">
        <v>16</v>
      </c>
      <c r="K101" t="s">
        <v>36</v>
      </c>
      <c r="L101">
        <v>2</v>
      </c>
      <c r="M101" t="s">
        <v>1682</v>
      </c>
      <c r="N101" t="s">
        <v>1674</v>
      </c>
      <c r="O101">
        <v>2</v>
      </c>
      <c r="P101" t="s">
        <v>1692</v>
      </c>
    </row>
    <row r="102" spans="1:16" x14ac:dyDescent="0.3">
      <c r="A102" t="s">
        <v>314</v>
      </c>
      <c r="B102" s="1">
        <v>45751</v>
      </c>
      <c r="C102" s="2">
        <v>0.83888888888888891</v>
      </c>
      <c r="D102" t="s">
        <v>315</v>
      </c>
      <c r="E102" t="s">
        <v>24</v>
      </c>
      <c r="F102" t="s">
        <v>316</v>
      </c>
      <c r="G102">
        <v>1</v>
      </c>
      <c r="H102">
        <v>45.93</v>
      </c>
      <c r="I102">
        <v>45.93</v>
      </c>
      <c r="J102" t="s">
        <v>16</v>
      </c>
      <c r="K102" t="s">
        <v>36</v>
      </c>
      <c r="L102">
        <v>2</v>
      </c>
      <c r="M102" t="s">
        <v>1681</v>
      </c>
      <c r="N102" t="s">
        <v>1674</v>
      </c>
      <c r="O102">
        <v>4</v>
      </c>
      <c r="P102" t="s">
        <v>1695</v>
      </c>
    </row>
    <row r="103" spans="1:16" x14ac:dyDescent="0.3">
      <c r="A103" t="s">
        <v>317</v>
      </c>
      <c r="B103" s="1">
        <v>45700</v>
      </c>
      <c r="C103" s="2">
        <v>0.58194444444444449</v>
      </c>
      <c r="D103" t="s">
        <v>318</v>
      </c>
      <c r="E103" t="s">
        <v>24</v>
      </c>
      <c r="F103" t="s">
        <v>319</v>
      </c>
      <c r="G103">
        <v>4</v>
      </c>
      <c r="H103">
        <v>48.53</v>
      </c>
      <c r="I103">
        <v>194.12</v>
      </c>
      <c r="J103" t="s">
        <v>16</v>
      </c>
      <c r="K103" t="s">
        <v>36</v>
      </c>
      <c r="L103">
        <v>1</v>
      </c>
      <c r="M103" t="s">
        <v>1688</v>
      </c>
      <c r="N103" t="s">
        <v>1674</v>
      </c>
      <c r="O103">
        <v>2</v>
      </c>
      <c r="P103" t="s">
        <v>1692</v>
      </c>
    </row>
    <row r="104" spans="1:16" x14ac:dyDescent="0.3">
      <c r="A104" t="s">
        <v>320</v>
      </c>
      <c r="B104" s="1">
        <v>45777</v>
      </c>
      <c r="C104" s="2">
        <v>0.42291666666666666</v>
      </c>
      <c r="D104" t="s">
        <v>321</v>
      </c>
      <c r="E104" t="s">
        <v>20</v>
      </c>
      <c r="F104" t="s">
        <v>322</v>
      </c>
      <c r="G104">
        <v>2</v>
      </c>
      <c r="H104">
        <v>43.71</v>
      </c>
      <c r="I104">
        <v>87.42</v>
      </c>
      <c r="J104" t="s">
        <v>16</v>
      </c>
      <c r="K104" t="s">
        <v>36</v>
      </c>
      <c r="L104">
        <v>5</v>
      </c>
      <c r="M104" t="s">
        <v>1685</v>
      </c>
      <c r="N104" t="s">
        <v>1674</v>
      </c>
      <c r="O104">
        <v>4</v>
      </c>
      <c r="P104" t="s">
        <v>1695</v>
      </c>
    </row>
    <row r="105" spans="1:16" x14ac:dyDescent="0.3">
      <c r="A105" t="s">
        <v>323</v>
      </c>
      <c r="B105" s="1">
        <v>45713</v>
      </c>
      <c r="C105" s="2">
        <v>0.68611111111111112</v>
      </c>
      <c r="D105" t="s">
        <v>324</v>
      </c>
      <c r="E105" t="s">
        <v>45</v>
      </c>
      <c r="F105" t="s">
        <v>325</v>
      </c>
      <c r="G105">
        <v>2</v>
      </c>
      <c r="H105">
        <v>43.5</v>
      </c>
      <c r="I105">
        <v>87</v>
      </c>
      <c r="J105" t="s">
        <v>16</v>
      </c>
      <c r="K105" t="s">
        <v>36</v>
      </c>
      <c r="L105">
        <v>5</v>
      </c>
      <c r="M105" t="s">
        <v>1687</v>
      </c>
      <c r="N105" t="s">
        <v>1674</v>
      </c>
      <c r="O105">
        <v>2</v>
      </c>
      <c r="P105" t="s">
        <v>1692</v>
      </c>
    </row>
    <row r="106" spans="1:16" x14ac:dyDescent="0.3">
      <c r="A106" t="s">
        <v>326</v>
      </c>
      <c r="B106" s="1">
        <v>45827</v>
      </c>
      <c r="C106" s="2">
        <v>0.91736111111111107</v>
      </c>
      <c r="D106" t="s">
        <v>327</v>
      </c>
      <c r="E106" t="s">
        <v>14</v>
      </c>
      <c r="F106" t="s">
        <v>328</v>
      </c>
      <c r="G106">
        <v>2</v>
      </c>
      <c r="H106">
        <v>5.67</v>
      </c>
      <c r="I106">
        <v>11.34</v>
      </c>
      <c r="J106" t="s">
        <v>16</v>
      </c>
      <c r="K106" t="s">
        <v>36</v>
      </c>
      <c r="L106">
        <v>1</v>
      </c>
      <c r="M106" t="s">
        <v>1680</v>
      </c>
      <c r="N106" t="s">
        <v>1674</v>
      </c>
      <c r="O106">
        <v>6</v>
      </c>
      <c r="P106" t="s">
        <v>1697</v>
      </c>
    </row>
    <row r="107" spans="1:16" x14ac:dyDescent="0.3">
      <c r="A107" t="s">
        <v>329</v>
      </c>
      <c r="B107" s="1">
        <v>45780</v>
      </c>
      <c r="C107" s="2">
        <v>0.93402777777777779</v>
      </c>
      <c r="D107" t="s">
        <v>330</v>
      </c>
      <c r="E107" t="s">
        <v>35</v>
      </c>
      <c r="F107" t="s">
        <v>331</v>
      </c>
      <c r="G107">
        <v>4</v>
      </c>
      <c r="H107">
        <v>35.869999999999997</v>
      </c>
      <c r="I107">
        <v>143.47999999999999</v>
      </c>
      <c r="J107" t="s">
        <v>16</v>
      </c>
      <c r="K107" t="s">
        <v>36</v>
      </c>
      <c r="L107">
        <v>1</v>
      </c>
      <c r="M107" t="s">
        <v>1680</v>
      </c>
      <c r="N107" t="s">
        <v>1674</v>
      </c>
      <c r="O107">
        <v>5</v>
      </c>
      <c r="P107" t="s">
        <v>1696</v>
      </c>
    </row>
    <row r="108" spans="1:16" x14ac:dyDescent="0.3">
      <c r="A108" t="s">
        <v>332</v>
      </c>
      <c r="B108" s="1">
        <v>45738</v>
      </c>
      <c r="C108" s="2">
        <v>0.63888888888888884</v>
      </c>
      <c r="D108" t="s">
        <v>333</v>
      </c>
      <c r="E108" t="s">
        <v>14</v>
      </c>
      <c r="F108" t="s">
        <v>334</v>
      </c>
      <c r="G108">
        <v>6</v>
      </c>
      <c r="H108">
        <v>16.47</v>
      </c>
      <c r="I108">
        <v>98.82</v>
      </c>
      <c r="J108" t="s">
        <v>16</v>
      </c>
      <c r="K108" t="s">
        <v>36</v>
      </c>
      <c r="L108">
        <v>1</v>
      </c>
      <c r="M108" t="s">
        <v>1677</v>
      </c>
      <c r="N108" t="s">
        <v>1674</v>
      </c>
      <c r="O108">
        <v>3</v>
      </c>
      <c r="P108" t="s">
        <v>1693</v>
      </c>
    </row>
    <row r="109" spans="1:16" x14ac:dyDescent="0.3">
      <c r="A109" t="s">
        <v>335</v>
      </c>
      <c r="B109" s="1">
        <v>45681</v>
      </c>
      <c r="C109" s="2">
        <v>0.92013888888888884</v>
      </c>
      <c r="D109" t="s">
        <v>336</v>
      </c>
      <c r="E109" t="s">
        <v>20</v>
      </c>
      <c r="F109" t="s">
        <v>337</v>
      </c>
      <c r="G109">
        <v>1</v>
      </c>
      <c r="H109">
        <v>24.43</v>
      </c>
      <c r="I109">
        <v>24.43</v>
      </c>
      <c r="J109" t="s">
        <v>16</v>
      </c>
      <c r="K109" t="s">
        <v>36</v>
      </c>
      <c r="L109">
        <v>2</v>
      </c>
      <c r="M109" t="s">
        <v>1680</v>
      </c>
      <c r="N109" t="s">
        <v>1674</v>
      </c>
      <c r="O109">
        <v>1</v>
      </c>
      <c r="P109" t="s">
        <v>1694</v>
      </c>
    </row>
    <row r="110" spans="1:16" x14ac:dyDescent="0.3">
      <c r="A110" t="s">
        <v>338</v>
      </c>
      <c r="B110" s="1">
        <v>45828</v>
      </c>
      <c r="C110" s="2">
        <v>0.89375000000000004</v>
      </c>
      <c r="D110" t="s">
        <v>339</v>
      </c>
      <c r="E110" t="s">
        <v>24</v>
      </c>
      <c r="F110" t="s">
        <v>340</v>
      </c>
      <c r="G110">
        <v>6</v>
      </c>
      <c r="H110">
        <v>7.32</v>
      </c>
      <c r="I110">
        <v>43.92</v>
      </c>
      <c r="J110" t="s">
        <v>16</v>
      </c>
      <c r="K110" t="s">
        <v>36</v>
      </c>
      <c r="L110">
        <v>3</v>
      </c>
      <c r="M110" t="s">
        <v>1686</v>
      </c>
      <c r="N110" t="s">
        <v>1674</v>
      </c>
      <c r="O110">
        <v>6</v>
      </c>
      <c r="P110" t="s">
        <v>1697</v>
      </c>
    </row>
    <row r="111" spans="1:16" x14ac:dyDescent="0.3">
      <c r="A111" t="s">
        <v>341</v>
      </c>
      <c r="B111" s="1">
        <v>45830</v>
      </c>
      <c r="C111" s="2">
        <v>0.81597222222222221</v>
      </c>
      <c r="D111" t="s">
        <v>342</v>
      </c>
      <c r="E111" t="s">
        <v>20</v>
      </c>
      <c r="F111" t="s">
        <v>343</v>
      </c>
      <c r="G111">
        <v>1</v>
      </c>
      <c r="H111">
        <v>32.4</v>
      </c>
      <c r="I111">
        <v>32.4</v>
      </c>
      <c r="J111" t="s">
        <v>16</v>
      </c>
      <c r="K111" t="s">
        <v>36</v>
      </c>
      <c r="L111">
        <v>1</v>
      </c>
      <c r="M111" t="s">
        <v>1683</v>
      </c>
      <c r="N111" t="s">
        <v>1674</v>
      </c>
      <c r="O111">
        <v>6</v>
      </c>
      <c r="P111" t="s">
        <v>1697</v>
      </c>
    </row>
    <row r="112" spans="1:16" x14ac:dyDescent="0.3">
      <c r="A112" t="s">
        <v>344</v>
      </c>
      <c r="B112" s="1">
        <v>45732</v>
      </c>
      <c r="C112" s="2">
        <v>0.43402777777777779</v>
      </c>
      <c r="D112" t="s">
        <v>345</v>
      </c>
      <c r="E112" t="s">
        <v>14</v>
      </c>
      <c r="F112" t="s">
        <v>346</v>
      </c>
      <c r="G112">
        <v>1</v>
      </c>
      <c r="H112">
        <v>48.48</v>
      </c>
      <c r="I112">
        <v>48.48</v>
      </c>
      <c r="J112" t="s">
        <v>16</v>
      </c>
      <c r="K112" t="s">
        <v>36</v>
      </c>
      <c r="L112">
        <v>3</v>
      </c>
      <c r="M112" t="s">
        <v>1685</v>
      </c>
      <c r="N112" t="s">
        <v>1674</v>
      </c>
      <c r="O112">
        <v>3</v>
      </c>
      <c r="P112" t="s">
        <v>1693</v>
      </c>
    </row>
    <row r="113" spans="1:16" x14ac:dyDescent="0.3">
      <c r="A113" t="s">
        <v>347</v>
      </c>
      <c r="B113" s="1">
        <v>45703</v>
      </c>
      <c r="C113" s="2">
        <v>0.90277777777777779</v>
      </c>
      <c r="D113" t="s">
        <v>348</v>
      </c>
      <c r="E113" t="s">
        <v>31</v>
      </c>
      <c r="F113" t="s">
        <v>349</v>
      </c>
      <c r="G113">
        <v>4</v>
      </c>
      <c r="H113">
        <v>25.88</v>
      </c>
      <c r="I113">
        <v>103.52</v>
      </c>
      <c r="J113" t="s">
        <v>16</v>
      </c>
      <c r="K113" t="s">
        <v>36</v>
      </c>
      <c r="L113">
        <v>5</v>
      </c>
      <c r="M113" t="s">
        <v>1686</v>
      </c>
      <c r="N113" t="s">
        <v>1674</v>
      </c>
      <c r="O113">
        <v>2</v>
      </c>
      <c r="P113" t="s">
        <v>1692</v>
      </c>
    </row>
    <row r="114" spans="1:16" x14ac:dyDescent="0.3">
      <c r="A114" t="s">
        <v>350</v>
      </c>
      <c r="B114" s="1">
        <v>45691</v>
      </c>
      <c r="C114" s="2">
        <v>0.78125</v>
      </c>
      <c r="D114" t="s">
        <v>351</v>
      </c>
      <c r="E114" t="s">
        <v>35</v>
      </c>
      <c r="F114" t="s">
        <v>159</v>
      </c>
      <c r="G114">
        <v>1</v>
      </c>
      <c r="H114">
        <v>18.93</v>
      </c>
      <c r="I114">
        <v>18.93</v>
      </c>
      <c r="J114" t="s">
        <v>16</v>
      </c>
      <c r="K114" t="s">
        <v>36</v>
      </c>
      <c r="L114">
        <v>2</v>
      </c>
      <c r="M114" t="s">
        <v>1682</v>
      </c>
      <c r="N114" t="s">
        <v>1674</v>
      </c>
      <c r="O114">
        <v>2</v>
      </c>
      <c r="P114" t="s">
        <v>1692</v>
      </c>
    </row>
    <row r="115" spans="1:16" x14ac:dyDescent="0.3">
      <c r="A115" t="s">
        <v>352</v>
      </c>
      <c r="B115" s="1">
        <v>45836</v>
      </c>
      <c r="C115" s="2">
        <v>0.69444444444444442</v>
      </c>
      <c r="D115" t="s">
        <v>353</v>
      </c>
      <c r="E115" t="s">
        <v>45</v>
      </c>
      <c r="F115" t="s">
        <v>354</v>
      </c>
      <c r="G115">
        <v>2</v>
      </c>
      <c r="H115">
        <v>41.52</v>
      </c>
      <c r="I115">
        <v>83.04</v>
      </c>
      <c r="J115" t="s">
        <v>16</v>
      </c>
      <c r="K115" t="s">
        <v>36</v>
      </c>
      <c r="L115">
        <v>1</v>
      </c>
      <c r="M115" t="s">
        <v>1687</v>
      </c>
      <c r="N115" t="s">
        <v>1674</v>
      </c>
      <c r="O115">
        <v>6</v>
      </c>
      <c r="P115" t="s">
        <v>1697</v>
      </c>
    </row>
    <row r="116" spans="1:16" x14ac:dyDescent="0.3">
      <c r="A116" t="s">
        <v>355</v>
      </c>
      <c r="B116" s="1">
        <v>45756</v>
      </c>
      <c r="C116" s="2">
        <v>0.59097222222222223</v>
      </c>
      <c r="D116" t="s">
        <v>356</v>
      </c>
      <c r="E116" t="s">
        <v>24</v>
      </c>
      <c r="F116" t="s">
        <v>357</v>
      </c>
      <c r="G116">
        <v>4</v>
      </c>
      <c r="H116">
        <v>36.14</v>
      </c>
      <c r="I116">
        <v>144.56</v>
      </c>
      <c r="J116" t="s">
        <v>16</v>
      </c>
      <c r="K116" t="s">
        <v>36</v>
      </c>
      <c r="L116">
        <v>1</v>
      </c>
      <c r="M116" t="s">
        <v>1684</v>
      </c>
      <c r="N116" t="s">
        <v>1674</v>
      </c>
      <c r="O116">
        <v>4</v>
      </c>
      <c r="P116" t="s">
        <v>1695</v>
      </c>
    </row>
    <row r="117" spans="1:16" x14ac:dyDescent="0.3">
      <c r="A117" t="s">
        <v>358</v>
      </c>
      <c r="B117" s="1">
        <v>45766</v>
      </c>
      <c r="C117" s="2">
        <v>0.43541666666666667</v>
      </c>
      <c r="D117" t="s">
        <v>359</v>
      </c>
      <c r="E117" t="s">
        <v>14</v>
      </c>
      <c r="F117" t="s">
        <v>360</v>
      </c>
      <c r="G117">
        <v>5</v>
      </c>
      <c r="H117">
        <v>49.78</v>
      </c>
      <c r="I117">
        <v>248.9</v>
      </c>
      <c r="J117" t="s">
        <v>16</v>
      </c>
      <c r="K117" t="s">
        <v>36</v>
      </c>
      <c r="L117">
        <v>3</v>
      </c>
      <c r="M117" t="s">
        <v>1685</v>
      </c>
      <c r="N117" t="s">
        <v>1674</v>
      </c>
      <c r="O117">
        <v>4</v>
      </c>
      <c r="P117" t="s">
        <v>1695</v>
      </c>
    </row>
    <row r="118" spans="1:16" x14ac:dyDescent="0.3">
      <c r="A118" t="s">
        <v>361</v>
      </c>
      <c r="B118" s="1">
        <v>45785</v>
      </c>
      <c r="C118" s="2">
        <v>0.72499999999999998</v>
      </c>
      <c r="D118" t="s">
        <v>362</v>
      </c>
      <c r="E118" t="s">
        <v>24</v>
      </c>
      <c r="F118" t="s">
        <v>363</v>
      </c>
      <c r="G118">
        <v>5</v>
      </c>
      <c r="H118">
        <v>10.3</v>
      </c>
      <c r="I118">
        <v>51.5</v>
      </c>
      <c r="J118" t="s">
        <v>16</v>
      </c>
      <c r="K118" t="s">
        <v>36</v>
      </c>
      <c r="L118">
        <v>2</v>
      </c>
      <c r="M118" t="s">
        <v>1676</v>
      </c>
      <c r="N118" t="s">
        <v>1674</v>
      </c>
      <c r="O118">
        <v>5</v>
      </c>
      <c r="P118" t="s">
        <v>1696</v>
      </c>
    </row>
    <row r="119" spans="1:16" x14ac:dyDescent="0.3">
      <c r="A119" t="s">
        <v>364</v>
      </c>
      <c r="B119" s="1">
        <v>45771</v>
      </c>
      <c r="C119" s="2">
        <v>0.45208333333333334</v>
      </c>
      <c r="D119" t="s">
        <v>365</v>
      </c>
      <c r="E119" t="s">
        <v>24</v>
      </c>
      <c r="F119" t="s">
        <v>366</v>
      </c>
      <c r="G119">
        <v>6</v>
      </c>
      <c r="H119">
        <v>48.54</v>
      </c>
      <c r="I119">
        <v>291.24</v>
      </c>
      <c r="J119" t="s">
        <v>16</v>
      </c>
      <c r="K119" t="s">
        <v>36</v>
      </c>
      <c r="L119">
        <v>1</v>
      </c>
      <c r="M119" t="s">
        <v>1685</v>
      </c>
      <c r="N119" t="s">
        <v>1674</v>
      </c>
      <c r="O119">
        <v>4</v>
      </c>
      <c r="P119" t="s">
        <v>1695</v>
      </c>
    </row>
    <row r="120" spans="1:16" x14ac:dyDescent="0.3">
      <c r="A120" t="s">
        <v>367</v>
      </c>
      <c r="B120" s="1">
        <v>45809</v>
      </c>
      <c r="C120" s="2">
        <v>0.75624999999999998</v>
      </c>
      <c r="D120" t="s">
        <v>368</v>
      </c>
      <c r="E120" t="s">
        <v>20</v>
      </c>
      <c r="F120" t="s">
        <v>369</v>
      </c>
      <c r="G120">
        <v>2</v>
      </c>
      <c r="H120">
        <v>34.64</v>
      </c>
      <c r="I120">
        <v>69.28</v>
      </c>
      <c r="J120" t="s">
        <v>16</v>
      </c>
      <c r="K120" t="s">
        <v>36</v>
      </c>
      <c r="L120">
        <v>5</v>
      </c>
      <c r="M120" t="s">
        <v>1682</v>
      </c>
      <c r="N120" t="s">
        <v>1674</v>
      </c>
      <c r="O120">
        <v>6</v>
      </c>
      <c r="P120" t="s">
        <v>1697</v>
      </c>
    </row>
    <row r="121" spans="1:16" x14ac:dyDescent="0.3">
      <c r="A121" t="s">
        <v>370</v>
      </c>
      <c r="B121" s="1">
        <v>45668</v>
      </c>
      <c r="C121" s="2">
        <v>0.95486111111111116</v>
      </c>
      <c r="D121" t="s">
        <v>371</v>
      </c>
      <c r="E121" t="s">
        <v>20</v>
      </c>
      <c r="F121" t="s">
        <v>372</v>
      </c>
      <c r="G121">
        <v>1</v>
      </c>
      <c r="H121">
        <v>8.66</v>
      </c>
      <c r="I121">
        <v>8.66</v>
      </c>
      <c r="J121" t="s">
        <v>16</v>
      </c>
      <c r="K121" t="s">
        <v>36</v>
      </c>
      <c r="L121">
        <v>2</v>
      </c>
      <c r="M121" t="s">
        <v>1680</v>
      </c>
      <c r="N121" t="s">
        <v>1674</v>
      </c>
      <c r="O121">
        <v>1</v>
      </c>
      <c r="P121" t="s">
        <v>1694</v>
      </c>
    </row>
    <row r="122" spans="1:16" x14ac:dyDescent="0.3">
      <c r="A122" t="s">
        <v>373</v>
      </c>
      <c r="B122" s="1">
        <v>45804</v>
      </c>
      <c r="C122" s="2">
        <v>0.65208333333333335</v>
      </c>
      <c r="D122" t="s">
        <v>374</v>
      </c>
      <c r="E122" t="s">
        <v>20</v>
      </c>
      <c r="F122" t="s">
        <v>375</v>
      </c>
      <c r="G122">
        <v>6</v>
      </c>
      <c r="H122">
        <v>6.36</v>
      </c>
      <c r="I122">
        <v>38.159999999999997</v>
      </c>
      <c r="J122" t="s">
        <v>16</v>
      </c>
      <c r="K122" t="s">
        <v>36</v>
      </c>
      <c r="L122">
        <v>3</v>
      </c>
      <c r="M122" t="s">
        <v>1677</v>
      </c>
      <c r="N122" t="s">
        <v>1674</v>
      </c>
      <c r="O122">
        <v>5</v>
      </c>
      <c r="P122" t="s">
        <v>1696</v>
      </c>
    </row>
    <row r="123" spans="1:16" x14ac:dyDescent="0.3">
      <c r="A123" t="s">
        <v>376</v>
      </c>
      <c r="B123" s="1">
        <v>45670</v>
      </c>
      <c r="C123" s="2">
        <v>0.38750000000000001</v>
      </c>
      <c r="D123" t="s">
        <v>377</v>
      </c>
      <c r="E123" t="s">
        <v>20</v>
      </c>
      <c r="F123" t="s">
        <v>378</v>
      </c>
      <c r="G123">
        <v>4</v>
      </c>
      <c r="H123">
        <v>31.89</v>
      </c>
      <c r="I123">
        <v>127.56</v>
      </c>
      <c r="J123" t="s">
        <v>16</v>
      </c>
      <c r="K123" t="s">
        <v>36</v>
      </c>
      <c r="L123">
        <v>3</v>
      </c>
      <c r="M123" t="s">
        <v>1679</v>
      </c>
      <c r="N123" t="s">
        <v>1674</v>
      </c>
      <c r="O123">
        <v>1</v>
      </c>
      <c r="P123" t="s">
        <v>1694</v>
      </c>
    </row>
    <row r="124" spans="1:16" x14ac:dyDescent="0.3">
      <c r="A124" t="s">
        <v>379</v>
      </c>
      <c r="B124" s="1">
        <v>45795</v>
      </c>
      <c r="C124" s="2">
        <v>0.41249999999999998</v>
      </c>
      <c r="D124" t="s">
        <v>380</v>
      </c>
      <c r="E124" t="s">
        <v>24</v>
      </c>
      <c r="F124" t="s">
        <v>381</v>
      </c>
      <c r="G124">
        <v>1</v>
      </c>
      <c r="H124">
        <v>24.39</v>
      </c>
      <c r="I124">
        <v>24.39</v>
      </c>
      <c r="J124" t="s">
        <v>16</v>
      </c>
      <c r="K124" t="s">
        <v>36</v>
      </c>
      <c r="L124">
        <v>4</v>
      </c>
      <c r="M124" t="s">
        <v>1679</v>
      </c>
      <c r="N124" t="s">
        <v>1674</v>
      </c>
      <c r="O124">
        <v>5</v>
      </c>
      <c r="P124" t="s">
        <v>1696</v>
      </c>
    </row>
    <row r="125" spans="1:16" x14ac:dyDescent="0.3">
      <c r="A125" t="s">
        <v>382</v>
      </c>
      <c r="B125" s="1">
        <v>45688</v>
      </c>
      <c r="C125" s="2">
        <v>0.46250000000000002</v>
      </c>
      <c r="D125" t="s">
        <v>383</v>
      </c>
      <c r="E125" t="s">
        <v>24</v>
      </c>
      <c r="F125" t="s">
        <v>384</v>
      </c>
      <c r="G125">
        <v>4</v>
      </c>
      <c r="H125">
        <v>21.79</v>
      </c>
      <c r="I125">
        <v>87.16</v>
      </c>
      <c r="J125" t="s">
        <v>16</v>
      </c>
      <c r="K125" t="s">
        <v>36</v>
      </c>
      <c r="L125">
        <v>2</v>
      </c>
      <c r="M125" t="s">
        <v>1675</v>
      </c>
      <c r="N125" t="s">
        <v>1674</v>
      </c>
      <c r="O125">
        <v>1</v>
      </c>
      <c r="P125" t="s">
        <v>1694</v>
      </c>
    </row>
    <row r="126" spans="1:16" x14ac:dyDescent="0.3">
      <c r="A126" t="s">
        <v>385</v>
      </c>
      <c r="B126" s="1">
        <v>45739</v>
      </c>
      <c r="C126" s="2">
        <v>0.47569444444444442</v>
      </c>
      <c r="D126" t="s">
        <v>386</v>
      </c>
      <c r="E126" t="s">
        <v>24</v>
      </c>
      <c r="F126" t="s">
        <v>387</v>
      </c>
      <c r="G126">
        <v>5</v>
      </c>
      <c r="H126">
        <v>38.270000000000003</v>
      </c>
      <c r="I126">
        <v>191.35</v>
      </c>
      <c r="J126" t="s">
        <v>16</v>
      </c>
      <c r="K126" t="s">
        <v>36</v>
      </c>
      <c r="L126">
        <v>5</v>
      </c>
      <c r="M126" t="s">
        <v>1675</v>
      </c>
      <c r="N126" t="s">
        <v>1674</v>
      </c>
      <c r="O126">
        <v>3</v>
      </c>
      <c r="P126" t="s">
        <v>1693</v>
      </c>
    </row>
    <row r="127" spans="1:16" x14ac:dyDescent="0.3">
      <c r="A127" t="s">
        <v>388</v>
      </c>
      <c r="B127" s="1">
        <v>45668</v>
      </c>
      <c r="C127" s="2">
        <v>0.57291666666666663</v>
      </c>
      <c r="D127" t="s">
        <v>389</v>
      </c>
      <c r="E127" t="s">
        <v>35</v>
      </c>
      <c r="F127" t="s">
        <v>390</v>
      </c>
      <c r="G127">
        <v>1</v>
      </c>
      <c r="H127">
        <v>20.59</v>
      </c>
      <c r="I127">
        <v>20.59</v>
      </c>
      <c r="J127" t="s">
        <v>16</v>
      </c>
      <c r="K127" t="s">
        <v>36</v>
      </c>
      <c r="L127">
        <v>4</v>
      </c>
      <c r="M127" t="s">
        <v>1688</v>
      </c>
      <c r="N127" t="s">
        <v>1674</v>
      </c>
      <c r="O127">
        <v>1</v>
      </c>
      <c r="P127" t="s">
        <v>1694</v>
      </c>
    </row>
    <row r="128" spans="1:16" x14ac:dyDescent="0.3">
      <c r="A128" t="s">
        <v>391</v>
      </c>
      <c r="B128" s="1">
        <v>45712</v>
      </c>
      <c r="C128" s="2">
        <v>0.53611111111111109</v>
      </c>
      <c r="D128" t="s">
        <v>392</v>
      </c>
      <c r="E128" t="s">
        <v>31</v>
      </c>
      <c r="F128" t="s">
        <v>393</v>
      </c>
      <c r="G128">
        <v>5</v>
      </c>
      <c r="H128">
        <v>17.2</v>
      </c>
      <c r="I128">
        <v>86</v>
      </c>
      <c r="J128" t="s">
        <v>16</v>
      </c>
      <c r="K128" t="s">
        <v>36</v>
      </c>
      <c r="L128">
        <v>2</v>
      </c>
      <c r="M128" t="s">
        <v>1674</v>
      </c>
      <c r="N128" t="s">
        <v>1674</v>
      </c>
      <c r="O128">
        <v>2</v>
      </c>
      <c r="P128" t="s">
        <v>1692</v>
      </c>
    </row>
    <row r="129" spans="1:16" x14ac:dyDescent="0.3">
      <c r="A129" t="s">
        <v>394</v>
      </c>
      <c r="B129" s="1">
        <v>45702</v>
      </c>
      <c r="C129" s="2">
        <v>0.78749999999999998</v>
      </c>
      <c r="D129" t="s">
        <v>395</v>
      </c>
      <c r="E129" t="s">
        <v>35</v>
      </c>
      <c r="F129" t="s">
        <v>396</v>
      </c>
      <c r="G129">
        <v>6</v>
      </c>
      <c r="H129">
        <v>45.37</v>
      </c>
      <c r="I129">
        <v>272.22000000000003</v>
      </c>
      <c r="J129" t="s">
        <v>16</v>
      </c>
      <c r="K129" t="s">
        <v>36</v>
      </c>
      <c r="L129">
        <v>1</v>
      </c>
      <c r="M129" t="s">
        <v>1682</v>
      </c>
      <c r="N129" t="s">
        <v>1674</v>
      </c>
      <c r="O129">
        <v>2</v>
      </c>
      <c r="P129" t="s">
        <v>1692</v>
      </c>
    </row>
    <row r="130" spans="1:16" x14ac:dyDescent="0.3">
      <c r="A130" t="s">
        <v>397</v>
      </c>
      <c r="B130" s="1">
        <v>45721</v>
      </c>
      <c r="C130" s="2">
        <v>0.82499999999999996</v>
      </c>
      <c r="D130" t="s">
        <v>398</v>
      </c>
      <c r="E130" t="s">
        <v>45</v>
      </c>
      <c r="F130" t="s">
        <v>399</v>
      </c>
      <c r="G130">
        <v>5</v>
      </c>
      <c r="H130">
        <v>44.29</v>
      </c>
      <c r="I130">
        <v>221.45</v>
      </c>
      <c r="J130" t="s">
        <v>16</v>
      </c>
      <c r="K130" t="s">
        <v>36</v>
      </c>
      <c r="L130">
        <v>5</v>
      </c>
      <c r="M130" t="s">
        <v>1683</v>
      </c>
      <c r="N130" t="s">
        <v>1674</v>
      </c>
      <c r="O130">
        <v>3</v>
      </c>
      <c r="P130" t="s">
        <v>1693</v>
      </c>
    </row>
    <row r="131" spans="1:16" x14ac:dyDescent="0.3">
      <c r="A131" t="s">
        <v>400</v>
      </c>
      <c r="B131" s="1">
        <v>45762</v>
      </c>
      <c r="C131" s="2">
        <v>0.49236111111111114</v>
      </c>
      <c r="D131" t="s">
        <v>401</v>
      </c>
      <c r="E131" t="s">
        <v>20</v>
      </c>
      <c r="F131" t="s">
        <v>402</v>
      </c>
      <c r="G131">
        <v>2</v>
      </c>
      <c r="H131">
        <v>39.46</v>
      </c>
      <c r="I131">
        <v>78.92</v>
      </c>
      <c r="J131" t="s">
        <v>16</v>
      </c>
      <c r="K131" t="s">
        <v>36</v>
      </c>
      <c r="L131">
        <v>3</v>
      </c>
      <c r="M131" t="s">
        <v>1675</v>
      </c>
      <c r="N131" t="s">
        <v>1674</v>
      </c>
      <c r="O131">
        <v>4</v>
      </c>
      <c r="P131" t="s">
        <v>1695</v>
      </c>
    </row>
    <row r="132" spans="1:16" x14ac:dyDescent="0.3">
      <c r="A132" t="s">
        <v>403</v>
      </c>
      <c r="B132" s="1">
        <v>45836</v>
      </c>
      <c r="C132" s="2">
        <v>0.6430555555555556</v>
      </c>
      <c r="D132" t="s">
        <v>404</v>
      </c>
      <c r="E132" t="s">
        <v>14</v>
      </c>
      <c r="F132" t="s">
        <v>405</v>
      </c>
      <c r="G132">
        <v>2</v>
      </c>
      <c r="H132">
        <v>18.489999999999998</v>
      </c>
      <c r="I132">
        <v>36.979999999999997</v>
      </c>
      <c r="J132" t="s">
        <v>16</v>
      </c>
      <c r="K132" t="s">
        <v>36</v>
      </c>
      <c r="L132">
        <v>2</v>
      </c>
      <c r="M132" t="s">
        <v>1677</v>
      </c>
      <c r="N132" t="s">
        <v>1674</v>
      </c>
      <c r="O132">
        <v>6</v>
      </c>
      <c r="P132" t="s">
        <v>1697</v>
      </c>
    </row>
    <row r="133" spans="1:16" x14ac:dyDescent="0.3">
      <c r="A133" t="s">
        <v>406</v>
      </c>
      <c r="B133" s="1">
        <v>45723</v>
      </c>
      <c r="C133" s="2">
        <v>0.91111111111111109</v>
      </c>
      <c r="D133" t="s">
        <v>407</v>
      </c>
      <c r="E133" t="s">
        <v>20</v>
      </c>
      <c r="F133" t="s">
        <v>328</v>
      </c>
      <c r="G133">
        <v>4</v>
      </c>
      <c r="H133">
        <v>48.49</v>
      </c>
      <c r="I133">
        <v>193.96</v>
      </c>
      <c r="J133" t="s">
        <v>16</v>
      </c>
      <c r="K133" t="s">
        <v>36</v>
      </c>
      <c r="L133">
        <v>4</v>
      </c>
      <c r="M133" t="s">
        <v>1686</v>
      </c>
      <c r="N133" t="s">
        <v>1674</v>
      </c>
      <c r="O133">
        <v>3</v>
      </c>
      <c r="P133" t="s">
        <v>1693</v>
      </c>
    </row>
    <row r="134" spans="1:16" x14ac:dyDescent="0.3">
      <c r="A134" t="s">
        <v>408</v>
      </c>
      <c r="B134" s="1">
        <v>45701</v>
      </c>
      <c r="C134" s="2">
        <v>0.86805555555555558</v>
      </c>
      <c r="D134" t="s">
        <v>409</v>
      </c>
      <c r="E134" t="s">
        <v>20</v>
      </c>
      <c r="F134" t="s">
        <v>410</v>
      </c>
      <c r="G134">
        <v>3</v>
      </c>
      <c r="H134">
        <v>12.62</v>
      </c>
      <c r="I134">
        <v>37.86</v>
      </c>
      <c r="J134" t="s">
        <v>16</v>
      </c>
      <c r="K134" t="s">
        <v>36</v>
      </c>
      <c r="L134">
        <v>2</v>
      </c>
      <c r="M134" t="s">
        <v>1681</v>
      </c>
      <c r="N134" t="s">
        <v>1674</v>
      </c>
      <c r="O134">
        <v>2</v>
      </c>
      <c r="P134" t="s">
        <v>1692</v>
      </c>
    </row>
    <row r="135" spans="1:16" x14ac:dyDescent="0.3">
      <c r="A135" t="s">
        <v>411</v>
      </c>
      <c r="B135" s="1">
        <v>45787</v>
      </c>
      <c r="C135" s="2">
        <v>0.68263888888888891</v>
      </c>
      <c r="D135" t="s">
        <v>412</v>
      </c>
      <c r="E135" t="s">
        <v>20</v>
      </c>
      <c r="F135" t="s">
        <v>413</v>
      </c>
      <c r="G135">
        <v>1</v>
      </c>
      <c r="H135">
        <v>32.799999999999997</v>
      </c>
      <c r="I135">
        <v>32.799999999999997</v>
      </c>
      <c r="J135" t="s">
        <v>16</v>
      </c>
      <c r="K135" t="s">
        <v>36</v>
      </c>
      <c r="L135">
        <v>4</v>
      </c>
      <c r="M135" t="s">
        <v>1687</v>
      </c>
      <c r="N135" t="s">
        <v>1674</v>
      </c>
      <c r="O135">
        <v>5</v>
      </c>
      <c r="P135" t="s">
        <v>1696</v>
      </c>
    </row>
    <row r="136" spans="1:16" x14ac:dyDescent="0.3">
      <c r="A136" t="s">
        <v>414</v>
      </c>
      <c r="B136" s="1">
        <v>45717</v>
      </c>
      <c r="C136" s="2">
        <v>0.9194444444444444</v>
      </c>
      <c r="D136" t="s">
        <v>415</v>
      </c>
      <c r="E136" t="s">
        <v>31</v>
      </c>
      <c r="F136" t="s">
        <v>413</v>
      </c>
      <c r="G136">
        <v>3</v>
      </c>
      <c r="H136">
        <v>32.229999999999997</v>
      </c>
      <c r="I136">
        <v>96.69</v>
      </c>
      <c r="J136" t="s">
        <v>16</v>
      </c>
      <c r="K136" t="s">
        <v>36</v>
      </c>
      <c r="L136">
        <v>3</v>
      </c>
      <c r="M136" t="s">
        <v>1680</v>
      </c>
      <c r="N136" t="s">
        <v>1674</v>
      </c>
      <c r="O136">
        <v>3</v>
      </c>
      <c r="P136" t="s">
        <v>1693</v>
      </c>
    </row>
    <row r="137" spans="1:16" x14ac:dyDescent="0.3">
      <c r="A137" t="s">
        <v>416</v>
      </c>
      <c r="B137" s="1">
        <v>45665</v>
      </c>
      <c r="C137" s="2">
        <v>0.80347222222222225</v>
      </c>
      <c r="D137" t="s">
        <v>417</v>
      </c>
      <c r="E137" t="s">
        <v>24</v>
      </c>
      <c r="F137" t="s">
        <v>418</v>
      </c>
      <c r="G137">
        <v>4</v>
      </c>
      <c r="H137">
        <v>27.08</v>
      </c>
      <c r="I137">
        <v>108.32</v>
      </c>
      <c r="J137" t="s">
        <v>16</v>
      </c>
      <c r="K137" t="s">
        <v>36</v>
      </c>
      <c r="L137">
        <v>4</v>
      </c>
      <c r="M137" t="s">
        <v>1683</v>
      </c>
      <c r="N137" t="s">
        <v>1674</v>
      </c>
      <c r="O137">
        <v>1</v>
      </c>
      <c r="P137" t="s">
        <v>1694</v>
      </c>
    </row>
    <row r="138" spans="1:16" x14ac:dyDescent="0.3">
      <c r="A138" t="s">
        <v>419</v>
      </c>
      <c r="B138" s="1">
        <v>45684</v>
      </c>
      <c r="C138" s="2">
        <v>0.37847222222222221</v>
      </c>
      <c r="D138" t="s">
        <v>420</v>
      </c>
      <c r="E138" t="s">
        <v>31</v>
      </c>
      <c r="F138" t="s">
        <v>421</v>
      </c>
      <c r="G138">
        <v>3</v>
      </c>
      <c r="H138">
        <v>29.94</v>
      </c>
      <c r="I138">
        <v>89.82</v>
      </c>
      <c r="J138" t="s">
        <v>16</v>
      </c>
      <c r="K138" t="s">
        <v>36</v>
      </c>
      <c r="L138">
        <v>4</v>
      </c>
      <c r="M138" t="s">
        <v>1679</v>
      </c>
      <c r="N138" t="s">
        <v>1674</v>
      </c>
      <c r="O138">
        <v>1</v>
      </c>
      <c r="P138" t="s">
        <v>1694</v>
      </c>
    </row>
    <row r="139" spans="1:16" x14ac:dyDescent="0.3">
      <c r="A139" t="s">
        <v>422</v>
      </c>
      <c r="B139" s="1">
        <v>45693</v>
      </c>
      <c r="C139" s="2">
        <v>0.80486111111111114</v>
      </c>
      <c r="D139" t="s">
        <v>423</v>
      </c>
      <c r="E139" t="s">
        <v>14</v>
      </c>
      <c r="F139" t="s">
        <v>424</v>
      </c>
      <c r="G139">
        <v>2</v>
      </c>
      <c r="H139">
        <v>16.37</v>
      </c>
      <c r="I139">
        <v>32.74</v>
      </c>
      <c r="J139" t="s">
        <v>16</v>
      </c>
      <c r="K139" t="s">
        <v>36</v>
      </c>
      <c r="L139">
        <v>4</v>
      </c>
      <c r="M139" t="s">
        <v>1683</v>
      </c>
      <c r="N139" t="s">
        <v>1674</v>
      </c>
      <c r="O139">
        <v>2</v>
      </c>
      <c r="P139" t="s">
        <v>1692</v>
      </c>
    </row>
    <row r="140" spans="1:16" x14ac:dyDescent="0.3">
      <c r="A140" t="s">
        <v>425</v>
      </c>
      <c r="B140" s="1">
        <v>45740</v>
      </c>
      <c r="C140" s="2">
        <v>0.9291666666666667</v>
      </c>
      <c r="D140" t="s">
        <v>19</v>
      </c>
      <c r="E140" t="s">
        <v>14</v>
      </c>
      <c r="F140" t="s">
        <v>426</v>
      </c>
      <c r="G140">
        <v>3</v>
      </c>
      <c r="H140">
        <v>29.63</v>
      </c>
      <c r="I140">
        <v>88.89</v>
      </c>
      <c r="J140" t="s">
        <v>16</v>
      </c>
      <c r="K140" t="s">
        <v>36</v>
      </c>
      <c r="L140">
        <v>3</v>
      </c>
      <c r="M140" t="s">
        <v>1680</v>
      </c>
      <c r="N140" t="s">
        <v>1674</v>
      </c>
      <c r="O140">
        <v>3</v>
      </c>
      <c r="P140" t="s">
        <v>1693</v>
      </c>
    </row>
    <row r="141" spans="1:16" x14ac:dyDescent="0.3">
      <c r="A141" t="s">
        <v>427</v>
      </c>
      <c r="B141" s="1">
        <v>45809</v>
      </c>
      <c r="C141" s="2">
        <v>0.5229166666666667</v>
      </c>
      <c r="D141" t="s">
        <v>428</v>
      </c>
      <c r="E141" t="s">
        <v>45</v>
      </c>
      <c r="F141" t="s">
        <v>429</v>
      </c>
      <c r="G141">
        <v>6</v>
      </c>
      <c r="H141">
        <v>25.03</v>
      </c>
      <c r="I141">
        <v>150.18</v>
      </c>
      <c r="J141" t="s">
        <v>16</v>
      </c>
      <c r="K141" t="s">
        <v>36</v>
      </c>
      <c r="L141">
        <v>1</v>
      </c>
      <c r="M141" t="s">
        <v>1674</v>
      </c>
      <c r="N141" t="s">
        <v>1674</v>
      </c>
      <c r="O141">
        <v>6</v>
      </c>
      <c r="P141" t="s">
        <v>1697</v>
      </c>
    </row>
    <row r="142" spans="1:16" x14ac:dyDescent="0.3">
      <c r="A142" t="s">
        <v>430</v>
      </c>
      <c r="B142" s="1">
        <v>45725</v>
      </c>
      <c r="C142" s="2">
        <v>0.85833333333333328</v>
      </c>
      <c r="D142" t="s">
        <v>431</v>
      </c>
      <c r="E142" t="s">
        <v>35</v>
      </c>
      <c r="F142" t="s">
        <v>432</v>
      </c>
      <c r="G142">
        <v>6</v>
      </c>
      <c r="H142">
        <v>8.4700000000000006</v>
      </c>
      <c r="I142">
        <v>50.82</v>
      </c>
      <c r="J142" t="s">
        <v>16</v>
      </c>
      <c r="K142" t="s">
        <v>36</v>
      </c>
      <c r="L142">
        <v>1</v>
      </c>
      <c r="M142" t="s">
        <v>1681</v>
      </c>
      <c r="N142" t="s">
        <v>1674</v>
      </c>
      <c r="O142">
        <v>3</v>
      </c>
      <c r="P142" t="s">
        <v>1693</v>
      </c>
    </row>
    <row r="143" spans="1:16" x14ac:dyDescent="0.3">
      <c r="A143" t="s">
        <v>433</v>
      </c>
      <c r="B143" s="1">
        <v>45743</v>
      </c>
      <c r="C143" s="2">
        <v>0.40833333333333333</v>
      </c>
      <c r="D143" t="s">
        <v>434</v>
      </c>
      <c r="E143" t="s">
        <v>20</v>
      </c>
      <c r="F143" t="s">
        <v>435</v>
      </c>
      <c r="G143">
        <v>6</v>
      </c>
      <c r="H143">
        <v>21.93</v>
      </c>
      <c r="I143">
        <v>131.58000000000001</v>
      </c>
      <c r="J143" t="s">
        <v>16</v>
      </c>
      <c r="K143" t="s">
        <v>36</v>
      </c>
      <c r="L143">
        <v>1</v>
      </c>
      <c r="M143" t="s">
        <v>1679</v>
      </c>
      <c r="N143" t="s">
        <v>1674</v>
      </c>
      <c r="O143">
        <v>3</v>
      </c>
      <c r="P143" t="s">
        <v>1693</v>
      </c>
    </row>
    <row r="144" spans="1:16" x14ac:dyDescent="0.3">
      <c r="A144" t="s">
        <v>436</v>
      </c>
      <c r="B144" s="1">
        <v>45775</v>
      </c>
      <c r="C144" s="2">
        <v>0.83680555555555558</v>
      </c>
      <c r="D144" t="s">
        <v>437</v>
      </c>
      <c r="E144" t="s">
        <v>14</v>
      </c>
      <c r="F144" t="s">
        <v>438</v>
      </c>
      <c r="G144">
        <v>5</v>
      </c>
      <c r="H144">
        <v>9.3000000000000007</v>
      </c>
      <c r="I144">
        <v>46.5</v>
      </c>
      <c r="J144" t="s">
        <v>16</v>
      </c>
      <c r="K144" t="s">
        <v>36</v>
      </c>
      <c r="L144">
        <v>1</v>
      </c>
      <c r="M144" t="s">
        <v>1681</v>
      </c>
      <c r="N144" t="s">
        <v>1674</v>
      </c>
      <c r="O144">
        <v>4</v>
      </c>
      <c r="P144" t="s">
        <v>1695</v>
      </c>
    </row>
    <row r="145" spans="1:16" x14ac:dyDescent="0.3">
      <c r="A145" t="s">
        <v>439</v>
      </c>
      <c r="B145" s="1">
        <v>45768</v>
      </c>
      <c r="C145" s="2">
        <v>0.94861111111111107</v>
      </c>
      <c r="D145" t="s">
        <v>440</v>
      </c>
      <c r="E145" t="s">
        <v>35</v>
      </c>
      <c r="F145" t="s">
        <v>441</v>
      </c>
      <c r="G145">
        <v>4</v>
      </c>
      <c r="H145">
        <v>27.33</v>
      </c>
      <c r="I145">
        <v>109.32</v>
      </c>
      <c r="J145" t="s">
        <v>16</v>
      </c>
      <c r="K145" t="s">
        <v>36</v>
      </c>
      <c r="L145">
        <v>2</v>
      </c>
      <c r="M145" t="s">
        <v>1680</v>
      </c>
      <c r="N145" t="s">
        <v>1674</v>
      </c>
      <c r="O145">
        <v>4</v>
      </c>
      <c r="P145" t="s">
        <v>1695</v>
      </c>
    </row>
    <row r="146" spans="1:16" x14ac:dyDescent="0.3">
      <c r="A146" t="s">
        <v>442</v>
      </c>
      <c r="B146" s="1">
        <v>45816</v>
      </c>
      <c r="C146" s="2">
        <v>0.76041666666666663</v>
      </c>
      <c r="D146" t="s">
        <v>443</v>
      </c>
      <c r="E146" t="s">
        <v>35</v>
      </c>
      <c r="F146" t="s">
        <v>444</v>
      </c>
      <c r="G146">
        <v>6</v>
      </c>
      <c r="H146">
        <v>18.28</v>
      </c>
      <c r="I146">
        <v>109.68</v>
      </c>
      <c r="J146" t="s">
        <v>16</v>
      </c>
      <c r="K146" t="s">
        <v>36</v>
      </c>
      <c r="L146">
        <v>1</v>
      </c>
      <c r="M146" t="s">
        <v>1682</v>
      </c>
      <c r="N146" t="s">
        <v>1674</v>
      </c>
      <c r="O146">
        <v>6</v>
      </c>
      <c r="P146" t="s">
        <v>1697</v>
      </c>
    </row>
    <row r="147" spans="1:16" x14ac:dyDescent="0.3">
      <c r="A147" t="s">
        <v>445</v>
      </c>
      <c r="B147" s="1">
        <v>45700</v>
      </c>
      <c r="C147" s="2">
        <v>0.97638888888888886</v>
      </c>
      <c r="D147" t="s">
        <v>446</v>
      </c>
      <c r="E147" t="s">
        <v>24</v>
      </c>
      <c r="F147" t="s">
        <v>447</v>
      </c>
      <c r="G147">
        <v>4</v>
      </c>
      <c r="H147">
        <v>44.68</v>
      </c>
      <c r="I147">
        <v>178.72</v>
      </c>
      <c r="J147" t="s">
        <v>16</v>
      </c>
      <c r="K147" t="s">
        <v>36</v>
      </c>
      <c r="L147">
        <v>1</v>
      </c>
      <c r="M147" t="s">
        <v>1678</v>
      </c>
      <c r="N147" t="s">
        <v>1674</v>
      </c>
      <c r="O147">
        <v>2</v>
      </c>
      <c r="P147" t="s">
        <v>1692</v>
      </c>
    </row>
    <row r="148" spans="1:16" x14ac:dyDescent="0.3">
      <c r="A148" t="s">
        <v>448</v>
      </c>
      <c r="B148" s="1">
        <v>45680</v>
      </c>
      <c r="C148" s="2">
        <v>0.64930555555555558</v>
      </c>
      <c r="D148" t="s">
        <v>449</v>
      </c>
      <c r="E148" t="s">
        <v>24</v>
      </c>
      <c r="F148" t="s">
        <v>450</v>
      </c>
      <c r="G148">
        <v>4</v>
      </c>
      <c r="H148">
        <v>29.84</v>
      </c>
      <c r="I148">
        <v>119.36</v>
      </c>
      <c r="J148" t="s">
        <v>16</v>
      </c>
      <c r="K148" t="s">
        <v>36</v>
      </c>
      <c r="L148">
        <v>1</v>
      </c>
      <c r="M148" t="s">
        <v>1677</v>
      </c>
      <c r="N148" t="s">
        <v>1674</v>
      </c>
      <c r="O148">
        <v>1</v>
      </c>
      <c r="P148" t="s">
        <v>1694</v>
      </c>
    </row>
    <row r="149" spans="1:16" x14ac:dyDescent="0.3">
      <c r="A149" t="s">
        <v>451</v>
      </c>
      <c r="B149" s="1">
        <v>45667</v>
      </c>
      <c r="C149" s="2">
        <v>0.66388888888888886</v>
      </c>
      <c r="D149" t="s">
        <v>452</v>
      </c>
      <c r="E149" t="s">
        <v>45</v>
      </c>
      <c r="F149" t="s">
        <v>453</v>
      </c>
      <c r="G149">
        <v>3</v>
      </c>
      <c r="H149">
        <v>36.07</v>
      </c>
      <c r="I149">
        <v>108.21</v>
      </c>
      <c r="J149" t="s">
        <v>16</v>
      </c>
      <c r="K149" t="s">
        <v>36</v>
      </c>
      <c r="L149">
        <v>3</v>
      </c>
      <c r="M149" t="s">
        <v>1677</v>
      </c>
      <c r="N149" t="s">
        <v>1674</v>
      </c>
      <c r="O149">
        <v>1</v>
      </c>
      <c r="P149" t="s">
        <v>1694</v>
      </c>
    </row>
    <row r="150" spans="1:16" x14ac:dyDescent="0.3">
      <c r="A150" t="s">
        <v>454</v>
      </c>
      <c r="B150" s="1">
        <v>45812</v>
      </c>
      <c r="C150" s="2">
        <v>0.79513888888888884</v>
      </c>
      <c r="D150" t="s">
        <v>455</v>
      </c>
      <c r="E150" t="s">
        <v>35</v>
      </c>
      <c r="F150" t="s">
        <v>456</v>
      </c>
      <c r="G150">
        <v>2</v>
      </c>
      <c r="H150">
        <v>24.88</v>
      </c>
      <c r="I150">
        <v>49.76</v>
      </c>
      <c r="J150" t="s">
        <v>16</v>
      </c>
      <c r="K150" t="s">
        <v>36</v>
      </c>
      <c r="L150">
        <v>5</v>
      </c>
      <c r="M150" t="s">
        <v>1683</v>
      </c>
      <c r="N150" t="s">
        <v>1674</v>
      </c>
      <c r="O150">
        <v>6</v>
      </c>
      <c r="P150" t="s">
        <v>1697</v>
      </c>
    </row>
    <row r="151" spans="1:16" x14ac:dyDescent="0.3">
      <c r="A151" t="s">
        <v>457</v>
      </c>
      <c r="B151" s="1">
        <v>45783</v>
      </c>
      <c r="C151" s="2">
        <v>0.90833333333333333</v>
      </c>
      <c r="D151" t="s">
        <v>458</v>
      </c>
      <c r="E151" t="s">
        <v>35</v>
      </c>
      <c r="F151" t="s">
        <v>459</v>
      </c>
      <c r="G151">
        <v>1</v>
      </c>
      <c r="H151">
        <v>10.82</v>
      </c>
      <c r="I151">
        <v>10.82</v>
      </c>
      <c r="J151" t="s">
        <v>16</v>
      </c>
      <c r="K151" t="s">
        <v>36</v>
      </c>
      <c r="L151">
        <v>4</v>
      </c>
      <c r="M151" t="s">
        <v>1686</v>
      </c>
      <c r="N151" t="s">
        <v>1674</v>
      </c>
      <c r="O151">
        <v>5</v>
      </c>
      <c r="P151" t="s">
        <v>1696</v>
      </c>
    </row>
    <row r="152" spans="1:16" x14ac:dyDescent="0.3">
      <c r="A152" t="s">
        <v>460</v>
      </c>
      <c r="B152" s="1">
        <v>45767</v>
      </c>
      <c r="C152" s="2">
        <v>0.68333333333333335</v>
      </c>
      <c r="D152" t="s">
        <v>461</v>
      </c>
      <c r="E152" t="s">
        <v>14</v>
      </c>
      <c r="F152" t="s">
        <v>462</v>
      </c>
      <c r="G152">
        <v>1</v>
      </c>
      <c r="H152">
        <v>6.7</v>
      </c>
      <c r="I152">
        <v>6.7</v>
      </c>
      <c r="J152" t="s">
        <v>16</v>
      </c>
      <c r="K152" t="s">
        <v>36</v>
      </c>
      <c r="L152">
        <v>1</v>
      </c>
      <c r="M152" t="s">
        <v>1687</v>
      </c>
      <c r="N152" t="s">
        <v>1674</v>
      </c>
      <c r="O152">
        <v>4</v>
      </c>
      <c r="P152" t="s">
        <v>1695</v>
      </c>
    </row>
    <row r="153" spans="1:16" x14ac:dyDescent="0.3">
      <c r="A153" t="s">
        <v>463</v>
      </c>
      <c r="B153" s="1">
        <v>45684</v>
      </c>
      <c r="C153" s="2">
        <v>0.66527777777777775</v>
      </c>
      <c r="D153" t="s">
        <v>464</v>
      </c>
      <c r="E153" t="s">
        <v>31</v>
      </c>
      <c r="F153" t="s">
        <v>465</v>
      </c>
      <c r="G153">
        <v>5</v>
      </c>
      <c r="H153">
        <v>26.72</v>
      </c>
      <c r="I153">
        <v>133.6</v>
      </c>
      <c r="J153" t="s">
        <v>16</v>
      </c>
      <c r="K153" t="s">
        <v>36</v>
      </c>
      <c r="L153">
        <v>2</v>
      </c>
      <c r="M153" t="s">
        <v>1677</v>
      </c>
      <c r="N153" t="s">
        <v>1674</v>
      </c>
      <c r="O153">
        <v>1</v>
      </c>
      <c r="P153" t="s">
        <v>1694</v>
      </c>
    </row>
    <row r="154" spans="1:16" x14ac:dyDescent="0.3">
      <c r="A154" t="s">
        <v>466</v>
      </c>
      <c r="B154" s="1">
        <v>45742</v>
      </c>
      <c r="C154" s="2">
        <v>0.74236111111111114</v>
      </c>
      <c r="D154" t="s">
        <v>467</v>
      </c>
      <c r="E154" t="s">
        <v>20</v>
      </c>
      <c r="F154" t="s">
        <v>468</v>
      </c>
      <c r="G154">
        <v>5</v>
      </c>
      <c r="H154">
        <v>32</v>
      </c>
      <c r="I154">
        <v>160</v>
      </c>
      <c r="J154" t="s">
        <v>16</v>
      </c>
      <c r="K154" t="s">
        <v>36</v>
      </c>
      <c r="L154">
        <v>4</v>
      </c>
      <c r="M154" t="s">
        <v>1676</v>
      </c>
      <c r="N154" t="s">
        <v>1674</v>
      </c>
      <c r="O154">
        <v>3</v>
      </c>
      <c r="P154" t="s">
        <v>1693</v>
      </c>
    </row>
    <row r="155" spans="1:16" x14ac:dyDescent="0.3">
      <c r="A155" t="s">
        <v>469</v>
      </c>
      <c r="B155" s="1">
        <v>45807</v>
      </c>
      <c r="C155" s="2">
        <v>0.77916666666666667</v>
      </c>
      <c r="D155" t="s">
        <v>470</v>
      </c>
      <c r="E155" t="s">
        <v>20</v>
      </c>
      <c r="F155" t="s">
        <v>471</v>
      </c>
      <c r="G155">
        <v>6</v>
      </c>
      <c r="H155">
        <v>23.79</v>
      </c>
      <c r="I155">
        <v>142.74</v>
      </c>
      <c r="J155" t="s">
        <v>16</v>
      </c>
      <c r="K155" t="s">
        <v>36</v>
      </c>
      <c r="L155">
        <v>4</v>
      </c>
      <c r="M155" t="s">
        <v>1682</v>
      </c>
      <c r="N155" t="s">
        <v>1674</v>
      </c>
      <c r="O155">
        <v>5</v>
      </c>
      <c r="P155" t="s">
        <v>1696</v>
      </c>
    </row>
    <row r="156" spans="1:16" x14ac:dyDescent="0.3">
      <c r="A156" t="s">
        <v>472</v>
      </c>
      <c r="B156" s="1">
        <v>45668</v>
      </c>
      <c r="C156" s="2">
        <v>0.63680555555555551</v>
      </c>
      <c r="D156" t="s">
        <v>473</v>
      </c>
      <c r="E156" t="s">
        <v>14</v>
      </c>
      <c r="F156" t="s">
        <v>474</v>
      </c>
      <c r="G156">
        <v>5</v>
      </c>
      <c r="H156">
        <v>16.89</v>
      </c>
      <c r="I156">
        <v>84.45</v>
      </c>
      <c r="J156" t="s">
        <v>16</v>
      </c>
      <c r="K156" t="s">
        <v>36</v>
      </c>
      <c r="L156">
        <v>1</v>
      </c>
      <c r="M156" t="s">
        <v>1677</v>
      </c>
      <c r="N156" t="s">
        <v>1674</v>
      </c>
      <c r="O156">
        <v>1</v>
      </c>
      <c r="P156" t="s">
        <v>1694</v>
      </c>
    </row>
    <row r="157" spans="1:16" x14ac:dyDescent="0.3">
      <c r="A157" t="s">
        <v>475</v>
      </c>
      <c r="B157" s="1">
        <v>45827</v>
      </c>
      <c r="C157" s="2">
        <v>0.56319444444444444</v>
      </c>
      <c r="D157" t="s">
        <v>476</v>
      </c>
      <c r="E157" t="s">
        <v>45</v>
      </c>
      <c r="F157" t="s">
        <v>477</v>
      </c>
      <c r="G157">
        <v>5</v>
      </c>
      <c r="H157">
        <v>29.76</v>
      </c>
      <c r="I157">
        <v>148.80000000000001</v>
      </c>
      <c r="J157" t="s">
        <v>16</v>
      </c>
      <c r="K157" t="s">
        <v>36</v>
      </c>
      <c r="L157">
        <v>5</v>
      </c>
      <c r="M157" t="s">
        <v>1688</v>
      </c>
      <c r="N157" t="s">
        <v>1674</v>
      </c>
      <c r="O157">
        <v>6</v>
      </c>
      <c r="P157" t="s">
        <v>1697</v>
      </c>
    </row>
    <row r="158" spans="1:16" x14ac:dyDescent="0.3">
      <c r="A158" t="s">
        <v>478</v>
      </c>
      <c r="B158" s="1">
        <v>45829</v>
      </c>
      <c r="C158" s="2">
        <v>0.57222222222222219</v>
      </c>
      <c r="D158" t="s">
        <v>479</v>
      </c>
      <c r="E158" t="s">
        <v>31</v>
      </c>
      <c r="F158" t="s">
        <v>480</v>
      </c>
      <c r="G158">
        <v>6</v>
      </c>
      <c r="H158">
        <v>34.159999999999997</v>
      </c>
      <c r="I158">
        <v>204.96</v>
      </c>
      <c r="J158" t="s">
        <v>16</v>
      </c>
      <c r="K158" t="s">
        <v>481</v>
      </c>
      <c r="L158">
        <v>5</v>
      </c>
      <c r="M158" t="s">
        <v>1688</v>
      </c>
      <c r="N158" t="s">
        <v>1674</v>
      </c>
      <c r="O158">
        <v>6</v>
      </c>
      <c r="P158" t="s">
        <v>1697</v>
      </c>
    </row>
    <row r="159" spans="1:16" x14ac:dyDescent="0.3">
      <c r="A159" t="s">
        <v>482</v>
      </c>
      <c r="B159" s="1">
        <v>45803</v>
      </c>
      <c r="C159" s="2">
        <v>0.4201388888888889</v>
      </c>
      <c r="D159" t="s">
        <v>483</v>
      </c>
      <c r="E159" t="s">
        <v>45</v>
      </c>
      <c r="F159" t="s">
        <v>299</v>
      </c>
      <c r="G159">
        <v>6</v>
      </c>
      <c r="H159">
        <v>26.87</v>
      </c>
      <c r="I159">
        <v>161.22</v>
      </c>
      <c r="J159" t="s">
        <v>16</v>
      </c>
      <c r="K159" t="s">
        <v>481</v>
      </c>
      <c r="L159">
        <v>2</v>
      </c>
      <c r="M159" t="s">
        <v>1685</v>
      </c>
      <c r="N159" t="s">
        <v>1674</v>
      </c>
      <c r="O159">
        <v>5</v>
      </c>
      <c r="P159" t="s">
        <v>1696</v>
      </c>
    </row>
    <row r="160" spans="1:16" x14ac:dyDescent="0.3">
      <c r="A160" t="s">
        <v>484</v>
      </c>
      <c r="B160" s="1">
        <v>45677</v>
      </c>
      <c r="C160" s="2">
        <v>0.70208333333333328</v>
      </c>
      <c r="D160" t="s">
        <v>485</v>
      </c>
      <c r="E160" t="s">
        <v>20</v>
      </c>
      <c r="F160" t="s">
        <v>486</v>
      </c>
      <c r="G160">
        <v>5</v>
      </c>
      <c r="H160">
        <v>9.41</v>
      </c>
      <c r="I160">
        <v>47.05</v>
      </c>
      <c r="J160" t="s">
        <v>16</v>
      </c>
      <c r="K160" t="s">
        <v>481</v>
      </c>
      <c r="L160">
        <v>1</v>
      </c>
      <c r="M160" t="s">
        <v>1687</v>
      </c>
      <c r="N160" t="s">
        <v>1674</v>
      </c>
      <c r="O160">
        <v>1</v>
      </c>
      <c r="P160" t="s">
        <v>1694</v>
      </c>
    </row>
    <row r="161" spans="1:16" x14ac:dyDescent="0.3">
      <c r="A161" t="s">
        <v>487</v>
      </c>
      <c r="B161" s="1">
        <v>45690</v>
      </c>
      <c r="C161" s="2">
        <v>0.5180555555555556</v>
      </c>
      <c r="D161" t="s">
        <v>488</v>
      </c>
      <c r="E161" t="s">
        <v>20</v>
      </c>
      <c r="F161" t="s">
        <v>489</v>
      </c>
      <c r="G161">
        <v>6</v>
      </c>
      <c r="H161">
        <v>47.32</v>
      </c>
      <c r="I161">
        <v>283.92</v>
      </c>
      <c r="J161" t="s">
        <v>16</v>
      </c>
      <c r="K161" t="s">
        <v>481</v>
      </c>
      <c r="L161">
        <v>5</v>
      </c>
      <c r="M161" t="s">
        <v>1674</v>
      </c>
      <c r="N161" t="s">
        <v>1674</v>
      </c>
      <c r="O161">
        <v>2</v>
      </c>
      <c r="P161" t="s">
        <v>1692</v>
      </c>
    </row>
    <row r="162" spans="1:16" x14ac:dyDescent="0.3">
      <c r="A162" t="s">
        <v>490</v>
      </c>
      <c r="B162" s="1">
        <v>45806</v>
      </c>
      <c r="C162" s="2">
        <v>0.77847222222222223</v>
      </c>
      <c r="D162" t="s">
        <v>491</v>
      </c>
      <c r="E162" t="s">
        <v>35</v>
      </c>
      <c r="F162" t="s">
        <v>492</v>
      </c>
      <c r="G162">
        <v>3</v>
      </c>
      <c r="H162">
        <v>25.92</v>
      </c>
      <c r="I162">
        <v>77.760000000000005</v>
      </c>
      <c r="J162" t="s">
        <v>16</v>
      </c>
      <c r="K162" t="s">
        <v>481</v>
      </c>
      <c r="L162">
        <v>5</v>
      </c>
      <c r="M162" t="s">
        <v>1682</v>
      </c>
      <c r="N162" t="s">
        <v>1674</v>
      </c>
      <c r="O162">
        <v>5</v>
      </c>
      <c r="P162" t="s">
        <v>1696</v>
      </c>
    </row>
    <row r="163" spans="1:16" x14ac:dyDescent="0.3">
      <c r="A163" t="s">
        <v>493</v>
      </c>
      <c r="B163" s="1">
        <v>45710</v>
      </c>
      <c r="C163" s="2">
        <v>0.93472222222222223</v>
      </c>
      <c r="D163" t="s">
        <v>494</v>
      </c>
      <c r="E163" t="s">
        <v>31</v>
      </c>
      <c r="F163" t="s">
        <v>495</v>
      </c>
      <c r="G163">
        <v>4</v>
      </c>
      <c r="H163">
        <v>45.72</v>
      </c>
      <c r="I163">
        <v>182.88</v>
      </c>
      <c r="J163" t="s">
        <v>16</v>
      </c>
      <c r="K163" t="s">
        <v>481</v>
      </c>
      <c r="L163">
        <v>5</v>
      </c>
      <c r="M163" t="s">
        <v>1680</v>
      </c>
      <c r="N163" t="s">
        <v>1674</v>
      </c>
      <c r="O163">
        <v>2</v>
      </c>
      <c r="P163" t="s">
        <v>1692</v>
      </c>
    </row>
    <row r="164" spans="1:16" x14ac:dyDescent="0.3">
      <c r="A164" t="s">
        <v>496</v>
      </c>
      <c r="B164" s="1">
        <v>45673</v>
      </c>
      <c r="C164" s="2">
        <v>0.78263888888888888</v>
      </c>
      <c r="D164" t="s">
        <v>497</v>
      </c>
      <c r="E164" t="s">
        <v>14</v>
      </c>
      <c r="F164" t="s">
        <v>498</v>
      </c>
      <c r="G164">
        <v>1</v>
      </c>
      <c r="H164">
        <v>47.64</v>
      </c>
      <c r="I164">
        <v>47.64</v>
      </c>
      <c r="J164" t="s">
        <v>16</v>
      </c>
      <c r="K164" t="s">
        <v>481</v>
      </c>
      <c r="L164">
        <v>3</v>
      </c>
      <c r="M164" t="s">
        <v>1682</v>
      </c>
      <c r="N164" t="s">
        <v>1674</v>
      </c>
      <c r="O164">
        <v>1</v>
      </c>
      <c r="P164" t="s">
        <v>1694</v>
      </c>
    </row>
    <row r="165" spans="1:16" x14ac:dyDescent="0.3">
      <c r="A165" t="s">
        <v>499</v>
      </c>
      <c r="B165" s="1">
        <v>45664</v>
      </c>
      <c r="C165" s="2">
        <v>0.42638888888888887</v>
      </c>
      <c r="D165" t="s">
        <v>500</v>
      </c>
      <c r="E165" t="s">
        <v>31</v>
      </c>
      <c r="F165" t="s">
        <v>501</v>
      </c>
      <c r="G165">
        <v>6</v>
      </c>
      <c r="H165">
        <v>42.62</v>
      </c>
      <c r="I165">
        <v>255.72</v>
      </c>
      <c r="J165" t="s">
        <v>16</v>
      </c>
      <c r="K165" t="s">
        <v>481</v>
      </c>
      <c r="L165">
        <v>3</v>
      </c>
      <c r="M165" t="s">
        <v>1685</v>
      </c>
      <c r="N165" t="s">
        <v>1674</v>
      </c>
      <c r="O165">
        <v>1</v>
      </c>
      <c r="P165" t="s">
        <v>1694</v>
      </c>
    </row>
    <row r="166" spans="1:16" x14ac:dyDescent="0.3">
      <c r="A166" t="s">
        <v>502</v>
      </c>
      <c r="B166" s="1">
        <v>45739</v>
      </c>
      <c r="C166" s="2">
        <v>0.82291666666666663</v>
      </c>
      <c r="D166" t="s">
        <v>503</v>
      </c>
      <c r="E166" t="s">
        <v>45</v>
      </c>
      <c r="F166" t="s">
        <v>504</v>
      </c>
      <c r="G166">
        <v>4</v>
      </c>
      <c r="H166">
        <v>44.26</v>
      </c>
      <c r="I166">
        <v>177.04</v>
      </c>
      <c r="J166" t="s">
        <v>16</v>
      </c>
      <c r="K166" t="s">
        <v>481</v>
      </c>
      <c r="L166">
        <v>2</v>
      </c>
      <c r="M166" t="s">
        <v>1683</v>
      </c>
      <c r="N166" t="s">
        <v>1674</v>
      </c>
      <c r="O166">
        <v>3</v>
      </c>
      <c r="P166" t="s">
        <v>1693</v>
      </c>
    </row>
    <row r="167" spans="1:16" x14ac:dyDescent="0.3">
      <c r="A167" t="s">
        <v>505</v>
      </c>
      <c r="B167" s="1">
        <v>45723</v>
      </c>
      <c r="C167" s="2">
        <v>0.79166666666666663</v>
      </c>
      <c r="D167" t="s">
        <v>506</v>
      </c>
      <c r="E167" t="s">
        <v>20</v>
      </c>
      <c r="F167" t="s">
        <v>507</v>
      </c>
      <c r="G167">
        <v>4</v>
      </c>
      <c r="H167">
        <v>45.55</v>
      </c>
      <c r="I167">
        <v>182.2</v>
      </c>
      <c r="J167" t="s">
        <v>16</v>
      </c>
      <c r="K167" t="s">
        <v>481</v>
      </c>
      <c r="L167">
        <v>1</v>
      </c>
      <c r="M167" t="s">
        <v>1683</v>
      </c>
      <c r="N167" t="s">
        <v>1674</v>
      </c>
      <c r="O167">
        <v>3</v>
      </c>
      <c r="P167" t="s">
        <v>1693</v>
      </c>
    </row>
    <row r="168" spans="1:16" x14ac:dyDescent="0.3">
      <c r="A168" t="s">
        <v>508</v>
      </c>
      <c r="B168" s="1">
        <v>45815</v>
      </c>
      <c r="C168" s="2">
        <v>0.40694444444444444</v>
      </c>
      <c r="D168" t="s">
        <v>509</v>
      </c>
      <c r="E168" t="s">
        <v>35</v>
      </c>
      <c r="F168" t="s">
        <v>510</v>
      </c>
      <c r="G168">
        <v>6</v>
      </c>
      <c r="H168">
        <v>28.47</v>
      </c>
      <c r="I168">
        <v>170.82</v>
      </c>
      <c r="J168" t="s">
        <v>16</v>
      </c>
      <c r="K168" t="s">
        <v>481</v>
      </c>
      <c r="L168">
        <v>1</v>
      </c>
      <c r="M168" t="s">
        <v>1679</v>
      </c>
      <c r="N168" t="s">
        <v>1674</v>
      </c>
      <c r="O168">
        <v>6</v>
      </c>
      <c r="P168" t="s">
        <v>1697</v>
      </c>
    </row>
    <row r="169" spans="1:16" x14ac:dyDescent="0.3">
      <c r="A169" t="s">
        <v>511</v>
      </c>
      <c r="B169" s="1">
        <v>45785</v>
      </c>
      <c r="C169" s="2">
        <v>0.8520833333333333</v>
      </c>
      <c r="D169" t="s">
        <v>512</v>
      </c>
      <c r="E169" t="s">
        <v>31</v>
      </c>
      <c r="F169" t="s">
        <v>513</v>
      </c>
      <c r="G169">
        <v>2</v>
      </c>
      <c r="H169">
        <v>10.81</v>
      </c>
      <c r="I169">
        <v>21.62</v>
      </c>
      <c r="J169" t="s">
        <v>16</v>
      </c>
      <c r="K169" t="s">
        <v>481</v>
      </c>
      <c r="L169">
        <v>5</v>
      </c>
      <c r="M169" t="s">
        <v>1681</v>
      </c>
      <c r="N169" t="s">
        <v>1674</v>
      </c>
      <c r="O169">
        <v>5</v>
      </c>
      <c r="P169" t="s">
        <v>1696</v>
      </c>
    </row>
    <row r="170" spans="1:16" x14ac:dyDescent="0.3">
      <c r="A170" t="s">
        <v>514</v>
      </c>
      <c r="B170" s="1">
        <v>45675</v>
      </c>
      <c r="C170" s="2">
        <v>0.68611111111111112</v>
      </c>
      <c r="D170" t="s">
        <v>515</v>
      </c>
      <c r="E170" t="s">
        <v>24</v>
      </c>
      <c r="F170" t="s">
        <v>516</v>
      </c>
      <c r="G170">
        <v>6</v>
      </c>
      <c r="H170">
        <v>18.63</v>
      </c>
      <c r="I170">
        <v>111.78</v>
      </c>
      <c r="J170" t="s">
        <v>16</v>
      </c>
      <c r="K170" t="s">
        <v>481</v>
      </c>
      <c r="L170">
        <v>3</v>
      </c>
      <c r="M170" t="s">
        <v>1687</v>
      </c>
      <c r="N170" t="s">
        <v>1674</v>
      </c>
      <c r="O170">
        <v>1</v>
      </c>
      <c r="P170" t="s">
        <v>1694</v>
      </c>
    </row>
    <row r="171" spans="1:16" x14ac:dyDescent="0.3">
      <c r="A171" t="s">
        <v>517</v>
      </c>
      <c r="B171" s="1">
        <v>45799</v>
      </c>
      <c r="C171" s="2">
        <v>0.90763888888888888</v>
      </c>
      <c r="D171" t="s">
        <v>518</v>
      </c>
      <c r="E171" t="s">
        <v>31</v>
      </c>
      <c r="F171" t="s">
        <v>519</v>
      </c>
      <c r="G171">
        <v>1</v>
      </c>
      <c r="H171">
        <v>25.24</v>
      </c>
      <c r="I171">
        <v>25.24</v>
      </c>
      <c r="J171" t="s">
        <v>16</v>
      </c>
      <c r="K171" t="s">
        <v>481</v>
      </c>
      <c r="L171">
        <v>3</v>
      </c>
      <c r="M171" t="s">
        <v>1686</v>
      </c>
      <c r="N171" t="s">
        <v>1674</v>
      </c>
      <c r="O171">
        <v>5</v>
      </c>
      <c r="P171" t="s">
        <v>1696</v>
      </c>
    </row>
    <row r="172" spans="1:16" x14ac:dyDescent="0.3">
      <c r="A172" t="s">
        <v>520</v>
      </c>
      <c r="B172" s="1">
        <v>45771</v>
      </c>
      <c r="C172" s="2">
        <v>0.76249999999999996</v>
      </c>
      <c r="D172" t="s">
        <v>521</v>
      </c>
      <c r="E172" t="s">
        <v>14</v>
      </c>
      <c r="F172" t="s">
        <v>522</v>
      </c>
      <c r="G172">
        <v>6</v>
      </c>
      <c r="H172">
        <v>40.270000000000003</v>
      </c>
      <c r="I172">
        <v>241.62</v>
      </c>
      <c r="J172" t="s">
        <v>16</v>
      </c>
      <c r="K172" t="s">
        <v>481</v>
      </c>
      <c r="L172">
        <v>3</v>
      </c>
      <c r="M172" t="s">
        <v>1682</v>
      </c>
      <c r="N172" t="s">
        <v>1674</v>
      </c>
      <c r="O172">
        <v>4</v>
      </c>
      <c r="P172" t="s">
        <v>1695</v>
      </c>
    </row>
    <row r="173" spans="1:16" x14ac:dyDescent="0.3">
      <c r="A173" t="s">
        <v>523</v>
      </c>
      <c r="B173" s="1">
        <v>45755</v>
      </c>
      <c r="C173" s="2">
        <v>0.73124999999999996</v>
      </c>
      <c r="D173" t="s">
        <v>524</v>
      </c>
      <c r="E173" t="s">
        <v>14</v>
      </c>
      <c r="F173" t="s">
        <v>525</v>
      </c>
      <c r="G173">
        <v>4</v>
      </c>
      <c r="H173">
        <v>48.48</v>
      </c>
      <c r="I173">
        <v>193.92</v>
      </c>
      <c r="J173" t="s">
        <v>16</v>
      </c>
      <c r="K173" t="s">
        <v>481</v>
      </c>
      <c r="L173">
        <v>3</v>
      </c>
      <c r="M173" t="s">
        <v>1676</v>
      </c>
      <c r="N173" t="s">
        <v>1674</v>
      </c>
      <c r="O173">
        <v>4</v>
      </c>
      <c r="P173" t="s">
        <v>1695</v>
      </c>
    </row>
    <row r="174" spans="1:16" x14ac:dyDescent="0.3">
      <c r="A174" t="s">
        <v>526</v>
      </c>
      <c r="B174" s="1">
        <v>45695</v>
      </c>
      <c r="C174" s="2">
        <v>0.4597222222222222</v>
      </c>
      <c r="D174" t="s">
        <v>527</v>
      </c>
      <c r="E174" t="s">
        <v>35</v>
      </c>
      <c r="F174" t="s">
        <v>528</v>
      </c>
      <c r="G174">
        <v>3</v>
      </c>
      <c r="H174">
        <v>46.28</v>
      </c>
      <c r="I174">
        <v>138.84</v>
      </c>
      <c r="J174" t="s">
        <v>16</v>
      </c>
      <c r="K174" t="s">
        <v>481</v>
      </c>
      <c r="L174">
        <v>4</v>
      </c>
      <c r="M174" t="s">
        <v>1675</v>
      </c>
      <c r="N174" t="s">
        <v>1674</v>
      </c>
      <c r="O174">
        <v>2</v>
      </c>
      <c r="P174" t="s">
        <v>1692</v>
      </c>
    </row>
    <row r="175" spans="1:16" x14ac:dyDescent="0.3">
      <c r="A175" t="s">
        <v>529</v>
      </c>
      <c r="B175" s="1">
        <v>45675</v>
      </c>
      <c r="C175" s="2">
        <v>0.7319444444444444</v>
      </c>
      <c r="D175" t="s">
        <v>530</v>
      </c>
      <c r="E175" t="s">
        <v>31</v>
      </c>
      <c r="F175" t="s">
        <v>531</v>
      </c>
      <c r="G175">
        <v>5</v>
      </c>
      <c r="H175">
        <v>40.39</v>
      </c>
      <c r="I175">
        <v>201.95</v>
      </c>
      <c r="J175" t="s">
        <v>16</v>
      </c>
      <c r="K175" t="s">
        <v>481</v>
      </c>
      <c r="L175">
        <v>4</v>
      </c>
      <c r="M175" t="s">
        <v>1676</v>
      </c>
      <c r="N175" t="s">
        <v>1674</v>
      </c>
      <c r="O175">
        <v>1</v>
      </c>
      <c r="P175" t="s">
        <v>1694</v>
      </c>
    </row>
    <row r="176" spans="1:16" x14ac:dyDescent="0.3">
      <c r="A176" t="s">
        <v>532</v>
      </c>
      <c r="B176" s="1">
        <v>45778</v>
      </c>
      <c r="C176" s="2">
        <v>0.40277777777777779</v>
      </c>
      <c r="D176" t="s">
        <v>533</v>
      </c>
      <c r="E176" t="s">
        <v>24</v>
      </c>
      <c r="F176" t="s">
        <v>534</v>
      </c>
      <c r="G176">
        <v>4</v>
      </c>
      <c r="H176">
        <v>49.15</v>
      </c>
      <c r="I176">
        <v>196.6</v>
      </c>
      <c r="J176" t="s">
        <v>16</v>
      </c>
      <c r="K176" t="s">
        <v>481</v>
      </c>
      <c r="L176">
        <v>3</v>
      </c>
      <c r="M176" t="s">
        <v>1679</v>
      </c>
      <c r="N176" t="s">
        <v>1674</v>
      </c>
      <c r="O176">
        <v>5</v>
      </c>
      <c r="P176" t="s">
        <v>1696</v>
      </c>
    </row>
    <row r="177" spans="1:16" x14ac:dyDescent="0.3">
      <c r="A177" t="s">
        <v>535</v>
      </c>
      <c r="B177" s="1">
        <v>45675</v>
      </c>
      <c r="C177" s="2">
        <v>0.53402777777777777</v>
      </c>
      <c r="D177" t="s">
        <v>536</v>
      </c>
      <c r="E177" t="s">
        <v>35</v>
      </c>
      <c r="F177" t="s">
        <v>537</v>
      </c>
      <c r="G177">
        <v>6</v>
      </c>
      <c r="H177">
        <v>21.48</v>
      </c>
      <c r="I177">
        <v>128.88</v>
      </c>
      <c r="J177" t="s">
        <v>16</v>
      </c>
      <c r="K177" t="s">
        <v>481</v>
      </c>
      <c r="L177">
        <v>5</v>
      </c>
      <c r="M177" t="s">
        <v>1674</v>
      </c>
      <c r="N177" t="s">
        <v>1674</v>
      </c>
      <c r="O177">
        <v>1</v>
      </c>
      <c r="P177" t="s">
        <v>1694</v>
      </c>
    </row>
    <row r="178" spans="1:16" x14ac:dyDescent="0.3">
      <c r="A178" t="s">
        <v>538</v>
      </c>
      <c r="B178" s="1">
        <v>45697</v>
      </c>
      <c r="C178" s="2">
        <v>0.81111111111111112</v>
      </c>
      <c r="D178" t="s">
        <v>539</v>
      </c>
      <c r="E178" t="s">
        <v>45</v>
      </c>
      <c r="F178" t="s">
        <v>540</v>
      </c>
      <c r="G178">
        <v>3</v>
      </c>
      <c r="H178">
        <v>21.74</v>
      </c>
      <c r="I178">
        <v>65.22</v>
      </c>
      <c r="J178" t="s">
        <v>16</v>
      </c>
      <c r="K178" t="s">
        <v>481</v>
      </c>
      <c r="L178">
        <v>5</v>
      </c>
      <c r="M178" t="s">
        <v>1683</v>
      </c>
      <c r="N178" t="s">
        <v>1674</v>
      </c>
      <c r="O178">
        <v>2</v>
      </c>
      <c r="P178" t="s">
        <v>1692</v>
      </c>
    </row>
    <row r="179" spans="1:16" x14ac:dyDescent="0.3">
      <c r="A179" t="s">
        <v>541</v>
      </c>
      <c r="B179" s="1">
        <v>45698</v>
      </c>
      <c r="C179" s="2">
        <v>0.68472222222222223</v>
      </c>
      <c r="D179" t="s">
        <v>542</v>
      </c>
      <c r="E179" t="s">
        <v>24</v>
      </c>
      <c r="F179" t="s">
        <v>343</v>
      </c>
      <c r="G179">
        <v>4</v>
      </c>
      <c r="H179">
        <v>25.9</v>
      </c>
      <c r="I179">
        <v>103.6</v>
      </c>
      <c r="J179" t="s">
        <v>16</v>
      </c>
      <c r="K179" t="s">
        <v>481</v>
      </c>
      <c r="L179">
        <v>3</v>
      </c>
      <c r="M179" t="s">
        <v>1687</v>
      </c>
      <c r="N179" t="s">
        <v>1674</v>
      </c>
      <c r="O179">
        <v>2</v>
      </c>
      <c r="P179" t="s">
        <v>1692</v>
      </c>
    </row>
    <row r="180" spans="1:16" x14ac:dyDescent="0.3">
      <c r="A180" t="s">
        <v>543</v>
      </c>
      <c r="B180" s="1">
        <v>45810</v>
      </c>
      <c r="C180" s="2">
        <v>0.67777777777777781</v>
      </c>
      <c r="D180" t="s">
        <v>544</v>
      </c>
      <c r="E180" t="s">
        <v>31</v>
      </c>
      <c r="F180" t="s">
        <v>156</v>
      </c>
      <c r="G180">
        <v>6</v>
      </c>
      <c r="H180">
        <v>40.229999999999997</v>
      </c>
      <c r="I180">
        <v>241.38</v>
      </c>
      <c r="J180" t="s">
        <v>16</v>
      </c>
      <c r="K180" t="s">
        <v>481</v>
      </c>
      <c r="L180">
        <v>1</v>
      </c>
      <c r="M180" t="s">
        <v>1687</v>
      </c>
      <c r="N180" t="s">
        <v>1674</v>
      </c>
      <c r="O180">
        <v>6</v>
      </c>
      <c r="P180" t="s">
        <v>1697</v>
      </c>
    </row>
    <row r="181" spans="1:16" x14ac:dyDescent="0.3">
      <c r="A181" t="s">
        <v>545</v>
      </c>
      <c r="B181" s="1">
        <v>45660</v>
      </c>
      <c r="C181" s="2">
        <v>0.57013888888888886</v>
      </c>
      <c r="D181" t="s">
        <v>546</v>
      </c>
      <c r="E181" t="s">
        <v>45</v>
      </c>
      <c r="F181" t="s">
        <v>547</v>
      </c>
      <c r="G181">
        <v>3</v>
      </c>
      <c r="H181">
        <v>36.17</v>
      </c>
      <c r="I181">
        <v>108.51</v>
      </c>
      <c r="J181" t="s">
        <v>16</v>
      </c>
      <c r="K181" t="s">
        <v>481</v>
      </c>
      <c r="L181">
        <v>4</v>
      </c>
      <c r="M181" t="s">
        <v>1688</v>
      </c>
      <c r="N181" t="s">
        <v>1674</v>
      </c>
      <c r="O181">
        <v>1</v>
      </c>
      <c r="P181" t="s">
        <v>1694</v>
      </c>
    </row>
    <row r="182" spans="1:16" x14ac:dyDescent="0.3">
      <c r="A182" t="s">
        <v>548</v>
      </c>
      <c r="B182" s="1">
        <v>45838</v>
      </c>
      <c r="C182" s="2">
        <v>0.58611111111111114</v>
      </c>
      <c r="D182" t="s">
        <v>549</v>
      </c>
      <c r="E182" t="s">
        <v>31</v>
      </c>
      <c r="F182" t="s">
        <v>550</v>
      </c>
      <c r="G182">
        <v>5</v>
      </c>
      <c r="H182">
        <v>10.050000000000001</v>
      </c>
      <c r="I182">
        <v>50.25</v>
      </c>
      <c r="J182" t="s">
        <v>16</v>
      </c>
      <c r="K182" t="s">
        <v>481</v>
      </c>
      <c r="L182">
        <v>5</v>
      </c>
      <c r="M182" t="s">
        <v>1684</v>
      </c>
      <c r="N182" t="s">
        <v>1674</v>
      </c>
      <c r="O182">
        <v>6</v>
      </c>
      <c r="P182" t="s">
        <v>1697</v>
      </c>
    </row>
    <row r="183" spans="1:16" x14ac:dyDescent="0.3">
      <c r="A183" t="s">
        <v>551</v>
      </c>
      <c r="B183" s="1">
        <v>45752</v>
      </c>
      <c r="C183" s="2">
        <v>0.60138888888888886</v>
      </c>
      <c r="D183" t="s">
        <v>552</v>
      </c>
      <c r="E183" t="s">
        <v>14</v>
      </c>
      <c r="F183" t="s">
        <v>553</v>
      </c>
      <c r="G183">
        <v>1</v>
      </c>
      <c r="H183">
        <v>30.31</v>
      </c>
      <c r="I183">
        <v>30.31</v>
      </c>
      <c r="J183" t="s">
        <v>16</v>
      </c>
      <c r="K183" t="s">
        <v>481</v>
      </c>
      <c r="L183">
        <v>1</v>
      </c>
      <c r="M183" t="s">
        <v>1684</v>
      </c>
      <c r="N183" t="s">
        <v>1674</v>
      </c>
      <c r="O183">
        <v>4</v>
      </c>
      <c r="P183" t="s">
        <v>1695</v>
      </c>
    </row>
    <row r="184" spans="1:16" x14ac:dyDescent="0.3">
      <c r="A184" t="s">
        <v>554</v>
      </c>
      <c r="B184" s="1">
        <v>45796</v>
      </c>
      <c r="C184" s="2">
        <v>0.79374999999999996</v>
      </c>
      <c r="D184" t="s">
        <v>555</v>
      </c>
      <c r="E184" t="s">
        <v>45</v>
      </c>
      <c r="F184" t="s">
        <v>556</v>
      </c>
      <c r="G184">
        <v>5</v>
      </c>
      <c r="H184">
        <v>6.52</v>
      </c>
      <c r="I184">
        <v>32.6</v>
      </c>
      <c r="J184" t="s">
        <v>16</v>
      </c>
      <c r="K184" t="s">
        <v>481</v>
      </c>
      <c r="L184">
        <v>1</v>
      </c>
      <c r="M184" t="s">
        <v>1683</v>
      </c>
      <c r="N184" t="s">
        <v>1674</v>
      </c>
      <c r="O184">
        <v>5</v>
      </c>
      <c r="P184" t="s">
        <v>1696</v>
      </c>
    </row>
    <row r="185" spans="1:16" x14ac:dyDescent="0.3">
      <c r="A185" t="s">
        <v>557</v>
      </c>
      <c r="B185" s="1">
        <v>45759</v>
      </c>
      <c r="C185" s="2">
        <v>0.43263888888888891</v>
      </c>
      <c r="D185" t="s">
        <v>558</v>
      </c>
      <c r="E185" t="s">
        <v>14</v>
      </c>
      <c r="F185" t="s">
        <v>559</v>
      </c>
      <c r="G185">
        <v>4</v>
      </c>
      <c r="H185">
        <v>25.65</v>
      </c>
      <c r="I185">
        <v>102.6</v>
      </c>
      <c r="J185" t="s">
        <v>16</v>
      </c>
      <c r="K185" t="s">
        <v>481</v>
      </c>
      <c r="L185">
        <v>3</v>
      </c>
      <c r="M185" t="s">
        <v>1685</v>
      </c>
      <c r="N185" t="s">
        <v>1674</v>
      </c>
      <c r="O185">
        <v>4</v>
      </c>
      <c r="P185" t="s">
        <v>1695</v>
      </c>
    </row>
    <row r="186" spans="1:16" x14ac:dyDescent="0.3">
      <c r="A186" t="s">
        <v>560</v>
      </c>
      <c r="B186" s="1">
        <v>45755</v>
      </c>
      <c r="C186" s="2">
        <v>0.64930555555555558</v>
      </c>
      <c r="D186" t="s">
        <v>561</v>
      </c>
      <c r="E186" t="s">
        <v>45</v>
      </c>
      <c r="F186" t="s">
        <v>562</v>
      </c>
      <c r="G186">
        <v>4</v>
      </c>
      <c r="H186">
        <v>7.53</v>
      </c>
      <c r="I186">
        <v>30.12</v>
      </c>
      <c r="J186" t="s">
        <v>16</v>
      </c>
      <c r="K186" t="s">
        <v>481</v>
      </c>
      <c r="L186">
        <v>1</v>
      </c>
      <c r="M186" t="s">
        <v>1677</v>
      </c>
      <c r="N186" t="s">
        <v>1674</v>
      </c>
      <c r="O186">
        <v>4</v>
      </c>
      <c r="P186" t="s">
        <v>1695</v>
      </c>
    </row>
    <row r="187" spans="1:16" x14ac:dyDescent="0.3">
      <c r="A187" t="s">
        <v>563</v>
      </c>
      <c r="B187" s="1">
        <v>45661</v>
      </c>
      <c r="C187" s="2">
        <v>0.55972222222222223</v>
      </c>
      <c r="D187" t="s">
        <v>564</v>
      </c>
      <c r="E187" t="s">
        <v>20</v>
      </c>
      <c r="F187" t="s">
        <v>253</v>
      </c>
      <c r="G187">
        <v>4</v>
      </c>
      <c r="H187">
        <v>40.06</v>
      </c>
      <c r="I187">
        <v>160.24</v>
      </c>
      <c r="J187" t="s">
        <v>16</v>
      </c>
      <c r="K187" t="s">
        <v>481</v>
      </c>
      <c r="L187">
        <v>5</v>
      </c>
      <c r="M187" t="s">
        <v>1688</v>
      </c>
      <c r="N187" t="s">
        <v>1674</v>
      </c>
      <c r="O187">
        <v>1</v>
      </c>
      <c r="P187" t="s">
        <v>1694</v>
      </c>
    </row>
    <row r="188" spans="1:16" x14ac:dyDescent="0.3">
      <c r="A188" t="s">
        <v>565</v>
      </c>
      <c r="B188" s="1">
        <v>45663</v>
      </c>
      <c r="C188" s="2">
        <v>0.93125000000000002</v>
      </c>
      <c r="D188" t="s">
        <v>566</v>
      </c>
      <c r="E188" t="s">
        <v>14</v>
      </c>
      <c r="F188" t="s">
        <v>567</v>
      </c>
      <c r="G188">
        <v>6</v>
      </c>
      <c r="H188">
        <v>9.92</v>
      </c>
      <c r="I188">
        <v>59.52</v>
      </c>
      <c r="J188" t="s">
        <v>16</v>
      </c>
      <c r="K188" t="s">
        <v>481</v>
      </c>
      <c r="L188">
        <v>5</v>
      </c>
      <c r="M188" t="s">
        <v>1680</v>
      </c>
      <c r="N188" t="s">
        <v>1674</v>
      </c>
      <c r="O188">
        <v>1</v>
      </c>
      <c r="P188" t="s">
        <v>1694</v>
      </c>
    </row>
    <row r="189" spans="1:16" x14ac:dyDescent="0.3">
      <c r="A189" t="s">
        <v>568</v>
      </c>
      <c r="B189" s="1">
        <v>45705</v>
      </c>
      <c r="C189" s="2">
        <v>0.8208333333333333</v>
      </c>
      <c r="D189" t="s">
        <v>569</v>
      </c>
      <c r="E189" t="s">
        <v>20</v>
      </c>
      <c r="F189" t="s">
        <v>570</v>
      </c>
      <c r="G189">
        <v>4</v>
      </c>
      <c r="H189">
        <v>22.8</v>
      </c>
      <c r="I189">
        <v>91.2</v>
      </c>
      <c r="J189" t="s">
        <v>16</v>
      </c>
      <c r="K189" t="s">
        <v>481</v>
      </c>
      <c r="L189">
        <v>4</v>
      </c>
      <c r="M189" t="s">
        <v>1683</v>
      </c>
      <c r="N189" t="s">
        <v>1674</v>
      </c>
      <c r="O189">
        <v>2</v>
      </c>
      <c r="P189" t="s">
        <v>1692</v>
      </c>
    </row>
    <row r="190" spans="1:16" x14ac:dyDescent="0.3">
      <c r="A190" t="s">
        <v>571</v>
      </c>
      <c r="B190" s="1">
        <v>45814</v>
      </c>
      <c r="C190" s="2">
        <v>0.65069444444444446</v>
      </c>
      <c r="D190" t="s">
        <v>572</v>
      </c>
      <c r="E190" t="s">
        <v>35</v>
      </c>
      <c r="F190" t="s">
        <v>573</v>
      </c>
      <c r="G190">
        <v>1</v>
      </c>
      <c r="H190">
        <v>20.66</v>
      </c>
      <c r="I190">
        <v>20.66</v>
      </c>
      <c r="J190" t="s">
        <v>16</v>
      </c>
      <c r="K190" t="s">
        <v>481</v>
      </c>
      <c r="L190">
        <v>3</v>
      </c>
      <c r="M190" t="s">
        <v>1677</v>
      </c>
      <c r="N190" t="s">
        <v>1674</v>
      </c>
      <c r="O190">
        <v>6</v>
      </c>
      <c r="P190" t="s">
        <v>1697</v>
      </c>
    </row>
    <row r="191" spans="1:16" x14ac:dyDescent="0.3">
      <c r="A191" t="s">
        <v>574</v>
      </c>
      <c r="B191" s="1">
        <v>45704</v>
      </c>
      <c r="C191" s="2">
        <v>0.61388888888888893</v>
      </c>
      <c r="D191" t="s">
        <v>575</v>
      </c>
      <c r="E191" t="s">
        <v>35</v>
      </c>
      <c r="F191" t="s">
        <v>576</v>
      </c>
      <c r="G191">
        <v>2</v>
      </c>
      <c r="H191">
        <v>27.99</v>
      </c>
      <c r="I191">
        <v>55.98</v>
      </c>
      <c r="J191" t="s">
        <v>16</v>
      </c>
      <c r="K191" t="s">
        <v>481</v>
      </c>
      <c r="L191">
        <v>5</v>
      </c>
      <c r="M191" t="s">
        <v>1684</v>
      </c>
      <c r="N191" t="s">
        <v>1674</v>
      </c>
      <c r="O191">
        <v>2</v>
      </c>
      <c r="P191" t="s">
        <v>1692</v>
      </c>
    </row>
    <row r="192" spans="1:16" x14ac:dyDescent="0.3">
      <c r="A192" t="s">
        <v>577</v>
      </c>
      <c r="B192" s="1">
        <v>45756</v>
      </c>
      <c r="C192" s="2">
        <v>0.63263888888888886</v>
      </c>
      <c r="D192" t="s">
        <v>578</v>
      </c>
      <c r="E192" t="s">
        <v>20</v>
      </c>
      <c r="F192" t="s">
        <v>579</v>
      </c>
      <c r="G192">
        <v>4</v>
      </c>
      <c r="H192">
        <v>33.6</v>
      </c>
      <c r="I192">
        <v>134.4</v>
      </c>
      <c r="J192" t="s">
        <v>16</v>
      </c>
      <c r="K192" t="s">
        <v>481</v>
      </c>
      <c r="L192">
        <v>5</v>
      </c>
      <c r="M192" t="s">
        <v>1677</v>
      </c>
      <c r="N192" t="s">
        <v>1674</v>
      </c>
      <c r="O192">
        <v>4</v>
      </c>
      <c r="P192" t="s">
        <v>1695</v>
      </c>
    </row>
    <row r="193" spans="1:16" x14ac:dyDescent="0.3">
      <c r="A193" t="s">
        <v>580</v>
      </c>
      <c r="B193" s="1">
        <v>45700</v>
      </c>
      <c r="C193" s="2">
        <v>0.6791666666666667</v>
      </c>
      <c r="D193" t="s">
        <v>581</v>
      </c>
      <c r="E193" t="s">
        <v>35</v>
      </c>
      <c r="F193" t="s">
        <v>582</v>
      </c>
      <c r="G193">
        <v>2</v>
      </c>
      <c r="H193">
        <v>13.42</v>
      </c>
      <c r="I193">
        <v>26.84</v>
      </c>
      <c r="J193" t="s">
        <v>16</v>
      </c>
      <c r="K193" t="s">
        <v>481</v>
      </c>
      <c r="L193">
        <v>3</v>
      </c>
      <c r="M193" t="s">
        <v>1687</v>
      </c>
      <c r="N193" t="s">
        <v>1674</v>
      </c>
      <c r="O193">
        <v>2</v>
      </c>
      <c r="P193" t="s">
        <v>1692</v>
      </c>
    </row>
    <row r="194" spans="1:16" x14ac:dyDescent="0.3">
      <c r="A194" t="s">
        <v>583</v>
      </c>
      <c r="B194" s="1">
        <v>45804</v>
      </c>
      <c r="C194" s="2">
        <v>0.4284722222222222</v>
      </c>
      <c r="D194" t="s">
        <v>584</v>
      </c>
      <c r="E194" t="s">
        <v>24</v>
      </c>
      <c r="F194" t="s">
        <v>585</v>
      </c>
      <c r="G194">
        <v>5</v>
      </c>
      <c r="H194">
        <v>42.05</v>
      </c>
      <c r="I194">
        <v>210.25</v>
      </c>
      <c r="J194" t="s">
        <v>16</v>
      </c>
      <c r="K194" t="s">
        <v>481</v>
      </c>
      <c r="L194">
        <v>4</v>
      </c>
      <c r="M194" t="s">
        <v>1685</v>
      </c>
      <c r="N194" t="s">
        <v>1674</v>
      </c>
      <c r="O194">
        <v>5</v>
      </c>
      <c r="P194" t="s">
        <v>1696</v>
      </c>
    </row>
    <row r="195" spans="1:16" x14ac:dyDescent="0.3">
      <c r="A195" t="s">
        <v>586</v>
      </c>
      <c r="B195" s="1">
        <v>45692</v>
      </c>
      <c r="C195" s="2">
        <v>0.90972222222222221</v>
      </c>
      <c r="D195" t="s">
        <v>587</v>
      </c>
      <c r="E195" t="s">
        <v>24</v>
      </c>
      <c r="F195" t="s">
        <v>588</v>
      </c>
      <c r="G195">
        <v>4</v>
      </c>
      <c r="H195">
        <v>46.34</v>
      </c>
      <c r="I195">
        <v>185.36</v>
      </c>
      <c r="J195" t="s">
        <v>16</v>
      </c>
      <c r="K195" t="s">
        <v>481</v>
      </c>
      <c r="L195">
        <v>2</v>
      </c>
      <c r="M195" t="s">
        <v>1686</v>
      </c>
      <c r="N195" t="s">
        <v>1674</v>
      </c>
      <c r="O195">
        <v>2</v>
      </c>
      <c r="P195" t="s">
        <v>1692</v>
      </c>
    </row>
    <row r="196" spans="1:16" x14ac:dyDescent="0.3">
      <c r="A196" t="s">
        <v>589</v>
      </c>
      <c r="B196" s="1">
        <v>45756</v>
      </c>
      <c r="C196" s="2">
        <v>0.42708333333333331</v>
      </c>
      <c r="D196" t="s">
        <v>590</v>
      </c>
      <c r="E196" t="s">
        <v>45</v>
      </c>
      <c r="F196" t="s">
        <v>293</v>
      </c>
      <c r="G196">
        <v>4</v>
      </c>
      <c r="H196">
        <v>33.71</v>
      </c>
      <c r="I196">
        <v>134.84</v>
      </c>
      <c r="J196" t="s">
        <v>16</v>
      </c>
      <c r="K196" t="s">
        <v>481</v>
      </c>
      <c r="L196">
        <v>3</v>
      </c>
      <c r="M196" t="s">
        <v>1685</v>
      </c>
      <c r="N196" t="s">
        <v>1674</v>
      </c>
      <c r="O196">
        <v>4</v>
      </c>
      <c r="P196" t="s">
        <v>1695</v>
      </c>
    </row>
    <row r="197" spans="1:16" x14ac:dyDescent="0.3">
      <c r="A197" t="s">
        <v>591</v>
      </c>
      <c r="B197" s="1">
        <v>45739</v>
      </c>
      <c r="C197" s="2">
        <v>0.47499999999999998</v>
      </c>
      <c r="D197" t="s">
        <v>592</v>
      </c>
      <c r="E197" t="s">
        <v>31</v>
      </c>
      <c r="F197" t="s">
        <v>593</v>
      </c>
      <c r="G197">
        <v>5</v>
      </c>
      <c r="H197">
        <v>23.94</v>
      </c>
      <c r="I197">
        <v>119.7</v>
      </c>
      <c r="J197" t="s">
        <v>16</v>
      </c>
      <c r="K197" t="s">
        <v>481</v>
      </c>
      <c r="L197">
        <v>4</v>
      </c>
      <c r="M197" t="s">
        <v>1675</v>
      </c>
      <c r="N197" t="s">
        <v>1674</v>
      </c>
      <c r="O197">
        <v>3</v>
      </c>
      <c r="P197" t="s">
        <v>1693</v>
      </c>
    </row>
    <row r="198" spans="1:16" x14ac:dyDescent="0.3">
      <c r="A198" t="s">
        <v>594</v>
      </c>
      <c r="B198" s="1">
        <v>45680</v>
      </c>
      <c r="C198" s="2">
        <v>0.55833333333333335</v>
      </c>
      <c r="D198" t="s">
        <v>595</v>
      </c>
      <c r="E198" t="s">
        <v>20</v>
      </c>
      <c r="F198" t="s">
        <v>596</v>
      </c>
      <c r="G198">
        <v>2</v>
      </c>
      <c r="H198">
        <v>23.87</v>
      </c>
      <c r="I198">
        <v>47.74</v>
      </c>
      <c r="J198" t="s">
        <v>16</v>
      </c>
      <c r="K198" t="s">
        <v>481</v>
      </c>
      <c r="L198">
        <v>5</v>
      </c>
      <c r="M198" t="s">
        <v>1688</v>
      </c>
      <c r="N198" t="s">
        <v>1674</v>
      </c>
      <c r="O198">
        <v>1</v>
      </c>
      <c r="P198" t="s">
        <v>1694</v>
      </c>
    </row>
    <row r="199" spans="1:16" x14ac:dyDescent="0.3">
      <c r="A199" t="s">
        <v>597</v>
      </c>
      <c r="B199" s="1">
        <v>45786</v>
      </c>
      <c r="C199" s="2">
        <v>0.6</v>
      </c>
      <c r="D199" t="s">
        <v>598</v>
      </c>
      <c r="E199" t="s">
        <v>24</v>
      </c>
      <c r="F199" t="s">
        <v>599</v>
      </c>
      <c r="G199">
        <v>3</v>
      </c>
      <c r="H199">
        <v>13.09</v>
      </c>
      <c r="I199">
        <v>39.270000000000003</v>
      </c>
      <c r="J199" t="s">
        <v>16</v>
      </c>
      <c r="K199" t="s">
        <v>481</v>
      </c>
      <c r="L199">
        <v>1</v>
      </c>
      <c r="M199" t="s">
        <v>1684</v>
      </c>
      <c r="N199" t="s">
        <v>1674</v>
      </c>
      <c r="O199">
        <v>5</v>
      </c>
      <c r="P199" t="s">
        <v>1696</v>
      </c>
    </row>
    <row r="200" spans="1:16" x14ac:dyDescent="0.3">
      <c r="A200" t="s">
        <v>600</v>
      </c>
      <c r="B200" s="1">
        <v>45809</v>
      </c>
      <c r="C200" s="2">
        <v>0.40625</v>
      </c>
      <c r="D200" t="s">
        <v>601</v>
      </c>
      <c r="E200" t="s">
        <v>31</v>
      </c>
      <c r="F200" t="s">
        <v>602</v>
      </c>
      <c r="G200">
        <v>6</v>
      </c>
      <c r="H200">
        <v>20.83</v>
      </c>
      <c r="I200">
        <v>124.98</v>
      </c>
      <c r="J200" t="s">
        <v>16</v>
      </c>
      <c r="K200" t="s">
        <v>481</v>
      </c>
      <c r="L200">
        <v>5</v>
      </c>
      <c r="M200" t="s">
        <v>1679</v>
      </c>
      <c r="N200" t="s">
        <v>1674</v>
      </c>
      <c r="O200">
        <v>6</v>
      </c>
      <c r="P200" t="s">
        <v>1697</v>
      </c>
    </row>
    <row r="201" spans="1:16" x14ac:dyDescent="0.3">
      <c r="A201" t="s">
        <v>603</v>
      </c>
      <c r="B201" s="1">
        <v>45745</v>
      </c>
      <c r="C201" s="2">
        <v>0.49722222222222223</v>
      </c>
      <c r="D201" t="s">
        <v>604</v>
      </c>
      <c r="E201" t="s">
        <v>45</v>
      </c>
      <c r="F201" t="s">
        <v>605</v>
      </c>
      <c r="G201">
        <v>4</v>
      </c>
      <c r="H201">
        <v>12.24</v>
      </c>
      <c r="I201">
        <v>48.96</v>
      </c>
      <c r="J201" t="s">
        <v>16</v>
      </c>
      <c r="K201" t="s">
        <v>481</v>
      </c>
      <c r="L201">
        <v>3</v>
      </c>
      <c r="M201" t="s">
        <v>1675</v>
      </c>
      <c r="N201" t="s">
        <v>1674</v>
      </c>
      <c r="O201">
        <v>3</v>
      </c>
      <c r="P201" t="s">
        <v>1693</v>
      </c>
    </row>
    <row r="202" spans="1:16" x14ac:dyDescent="0.3">
      <c r="A202" t="s">
        <v>606</v>
      </c>
      <c r="B202" s="1">
        <v>45810</v>
      </c>
      <c r="C202" s="2">
        <v>0.7895833333333333</v>
      </c>
      <c r="D202" t="s">
        <v>607</v>
      </c>
      <c r="E202" t="s">
        <v>35</v>
      </c>
      <c r="F202" t="s">
        <v>608</v>
      </c>
      <c r="G202">
        <v>4</v>
      </c>
      <c r="H202">
        <v>36.700000000000003</v>
      </c>
      <c r="I202">
        <v>146.80000000000001</v>
      </c>
      <c r="J202" t="s">
        <v>16</v>
      </c>
      <c r="K202" t="s">
        <v>481</v>
      </c>
      <c r="L202">
        <v>5</v>
      </c>
      <c r="M202" t="s">
        <v>1682</v>
      </c>
      <c r="N202" t="s">
        <v>1674</v>
      </c>
      <c r="O202">
        <v>6</v>
      </c>
      <c r="P202" t="s">
        <v>1697</v>
      </c>
    </row>
    <row r="203" spans="1:16" x14ac:dyDescent="0.3">
      <c r="A203" t="s">
        <v>609</v>
      </c>
      <c r="B203" s="1">
        <v>45669</v>
      </c>
      <c r="C203" s="2">
        <v>0.56111111111111112</v>
      </c>
      <c r="D203" t="s">
        <v>610</v>
      </c>
      <c r="E203" t="s">
        <v>24</v>
      </c>
      <c r="F203" t="s">
        <v>611</v>
      </c>
      <c r="G203">
        <v>4</v>
      </c>
      <c r="H203">
        <v>16.850000000000001</v>
      </c>
      <c r="I203">
        <v>67.400000000000006</v>
      </c>
      <c r="J203" t="s">
        <v>16</v>
      </c>
      <c r="K203" t="s">
        <v>481</v>
      </c>
      <c r="L203">
        <v>2</v>
      </c>
      <c r="M203" t="s">
        <v>1688</v>
      </c>
      <c r="N203" t="s">
        <v>1674</v>
      </c>
      <c r="O203">
        <v>1</v>
      </c>
      <c r="P203" t="s">
        <v>1694</v>
      </c>
    </row>
    <row r="204" spans="1:16" x14ac:dyDescent="0.3">
      <c r="A204" t="s">
        <v>612</v>
      </c>
      <c r="B204" s="1">
        <v>45804</v>
      </c>
      <c r="C204" s="2">
        <v>0.96875</v>
      </c>
      <c r="D204" t="s">
        <v>613</v>
      </c>
      <c r="E204" t="s">
        <v>35</v>
      </c>
      <c r="F204" t="s">
        <v>614</v>
      </c>
      <c r="G204">
        <v>4</v>
      </c>
      <c r="H204">
        <v>18.45</v>
      </c>
      <c r="I204">
        <v>73.8</v>
      </c>
      <c r="J204" t="s">
        <v>16</v>
      </c>
      <c r="K204" t="s">
        <v>481</v>
      </c>
      <c r="L204">
        <v>5</v>
      </c>
      <c r="M204" t="s">
        <v>1678</v>
      </c>
      <c r="N204" t="s">
        <v>1674</v>
      </c>
      <c r="O204">
        <v>5</v>
      </c>
      <c r="P204" t="s">
        <v>1696</v>
      </c>
    </row>
    <row r="205" spans="1:16" x14ac:dyDescent="0.3">
      <c r="A205" t="s">
        <v>615</v>
      </c>
      <c r="B205" s="1">
        <v>45672</v>
      </c>
      <c r="C205" s="2">
        <v>0.50138888888888888</v>
      </c>
      <c r="D205" t="s">
        <v>616</v>
      </c>
      <c r="E205" t="s">
        <v>24</v>
      </c>
      <c r="F205" t="s">
        <v>617</v>
      </c>
      <c r="G205">
        <v>4</v>
      </c>
      <c r="H205">
        <v>7.28</v>
      </c>
      <c r="I205">
        <v>29.12</v>
      </c>
      <c r="J205" t="s">
        <v>16</v>
      </c>
      <c r="K205" t="s">
        <v>481</v>
      </c>
      <c r="L205">
        <v>3</v>
      </c>
      <c r="M205" t="s">
        <v>1674</v>
      </c>
      <c r="N205" t="s">
        <v>1674</v>
      </c>
      <c r="O205">
        <v>1</v>
      </c>
      <c r="P205" t="s">
        <v>1694</v>
      </c>
    </row>
    <row r="206" spans="1:16" x14ac:dyDescent="0.3">
      <c r="A206" t="s">
        <v>618</v>
      </c>
      <c r="B206" s="1">
        <v>45752</v>
      </c>
      <c r="C206" s="2">
        <v>0.93680555555555556</v>
      </c>
      <c r="D206" t="s">
        <v>619</v>
      </c>
      <c r="E206" t="s">
        <v>45</v>
      </c>
      <c r="F206" t="s">
        <v>620</v>
      </c>
      <c r="G206">
        <v>5</v>
      </c>
      <c r="H206">
        <v>22.86</v>
      </c>
      <c r="I206">
        <v>114.3</v>
      </c>
      <c r="J206" t="s">
        <v>16</v>
      </c>
      <c r="K206" t="s">
        <v>481</v>
      </c>
      <c r="L206">
        <v>2</v>
      </c>
      <c r="M206" t="s">
        <v>1680</v>
      </c>
      <c r="N206" t="s">
        <v>1674</v>
      </c>
      <c r="O206">
        <v>4</v>
      </c>
      <c r="P206" t="s">
        <v>1695</v>
      </c>
    </row>
    <row r="207" spans="1:16" x14ac:dyDescent="0.3">
      <c r="A207" t="s">
        <v>621</v>
      </c>
      <c r="B207" s="1">
        <v>45831</v>
      </c>
      <c r="C207" s="2">
        <v>0.51180555555555551</v>
      </c>
      <c r="D207" t="s">
        <v>622</v>
      </c>
      <c r="E207" t="s">
        <v>45</v>
      </c>
      <c r="F207" t="s">
        <v>623</v>
      </c>
      <c r="G207">
        <v>6</v>
      </c>
      <c r="H207">
        <v>23.43</v>
      </c>
      <c r="I207">
        <v>140.58000000000001</v>
      </c>
      <c r="J207" t="s">
        <v>16</v>
      </c>
      <c r="K207" t="s">
        <v>481</v>
      </c>
      <c r="L207">
        <v>4</v>
      </c>
      <c r="M207" t="s">
        <v>1674</v>
      </c>
      <c r="N207" t="s">
        <v>1674</v>
      </c>
      <c r="O207">
        <v>6</v>
      </c>
      <c r="P207" t="s">
        <v>1697</v>
      </c>
    </row>
    <row r="208" spans="1:16" x14ac:dyDescent="0.3">
      <c r="A208" t="s">
        <v>624</v>
      </c>
      <c r="B208" s="1">
        <v>45801</v>
      </c>
      <c r="C208" s="2">
        <v>0.91527777777777775</v>
      </c>
      <c r="D208" t="s">
        <v>625</v>
      </c>
      <c r="E208" t="s">
        <v>24</v>
      </c>
      <c r="F208" t="s">
        <v>626</v>
      </c>
      <c r="G208">
        <v>2</v>
      </c>
      <c r="H208">
        <v>47.61</v>
      </c>
      <c r="I208">
        <v>95.22</v>
      </c>
      <c r="J208" t="s">
        <v>16</v>
      </c>
      <c r="K208" t="s">
        <v>481</v>
      </c>
      <c r="L208">
        <v>2</v>
      </c>
      <c r="M208" t="s">
        <v>1686</v>
      </c>
      <c r="N208" t="s">
        <v>1674</v>
      </c>
      <c r="O208">
        <v>5</v>
      </c>
      <c r="P208" t="s">
        <v>1696</v>
      </c>
    </row>
    <row r="209" spans="1:16" x14ac:dyDescent="0.3">
      <c r="A209" t="s">
        <v>627</v>
      </c>
      <c r="B209" s="1">
        <v>45706</v>
      </c>
      <c r="C209" s="2">
        <v>0.49861111111111112</v>
      </c>
      <c r="D209" t="s">
        <v>628</v>
      </c>
      <c r="E209" t="s">
        <v>14</v>
      </c>
      <c r="F209" t="s">
        <v>629</v>
      </c>
      <c r="G209">
        <v>4</v>
      </c>
      <c r="H209">
        <v>5.86</v>
      </c>
      <c r="I209">
        <v>23.44</v>
      </c>
      <c r="J209" t="s">
        <v>16</v>
      </c>
      <c r="K209" t="s">
        <v>481</v>
      </c>
      <c r="L209">
        <v>2</v>
      </c>
      <c r="M209" t="s">
        <v>1675</v>
      </c>
      <c r="N209" t="s">
        <v>1674</v>
      </c>
      <c r="O209">
        <v>2</v>
      </c>
      <c r="P209" t="s">
        <v>1692</v>
      </c>
    </row>
    <row r="210" spans="1:16" x14ac:dyDescent="0.3">
      <c r="A210" t="s">
        <v>630</v>
      </c>
      <c r="B210" s="1">
        <v>45663</v>
      </c>
      <c r="C210" s="2">
        <v>0.77222222222222225</v>
      </c>
      <c r="D210" t="s">
        <v>631</v>
      </c>
      <c r="E210" t="s">
        <v>20</v>
      </c>
      <c r="F210" t="s">
        <v>611</v>
      </c>
      <c r="G210">
        <v>2</v>
      </c>
      <c r="H210">
        <v>10.54</v>
      </c>
      <c r="I210">
        <v>21.08</v>
      </c>
      <c r="J210" t="s">
        <v>16</v>
      </c>
      <c r="K210" t="s">
        <v>481</v>
      </c>
      <c r="L210">
        <v>4</v>
      </c>
      <c r="M210" t="s">
        <v>1682</v>
      </c>
      <c r="N210" t="s">
        <v>1674</v>
      </c>
      <c r="O210">
        <v>1</v>
      </c>
      <c r="P210" t="s">
        <v>1694</v>
      </c>
    </row>
    <row r="211" spans="1:16" x14ac:dyDescent="0.3">
      <c r="A211" t="s">
        <v>632</v>
      </c>
      <c r="B211" s="1">
        <v>45685</v>
      </c>
      <c r="C211" s="2">
        <v>0.67500000000000004</v>
      </c>
      <c r="D211" t="s">
        <v>633</v>
      </c>
      <c r="E211" t="s">
        <v>24</v>
      </c>
      <c r="F211" t="s">
        <v>634</v>
      </c>
      <c r="G211">
        <v>5</v>
      </c>
      <c r="H211">
        <v>13.99</v>
      </c>
      <c r="I211">
        <v>69.95</v>
      </c>
      <c r="J211" t="s">
        <v>16</v>
      </c>
      <c r="K211" t="s">
        <v>481</v>
      </c>
      <c r="L211">
        <v>3</v>
      </c>
      <c r="M211" t="s">
        <v>1687</v>
      </c>
      <c r="N211" t="s">
        <v>1674</v>
      </c>
      <c r="O211">
        <v>1</v>
      </c>
      <c r="P211" t="s">
        <v>1694</v>
      </c>
    </row>
    <row r="212" spans="1:16" x14ac:dyDescent="0.3">
      <c r="A212" t="s">
        <v>635</v>
      </c>
      <c r="B212" s="1">
        <v>45742</v>
      </c>
      <c r="C212" s="2">
        <v>0.62291666666666667</v>
      </c>
      <c r="D212" t="s">
        <v>636</v>
      </c>
      <c r="E212" t="s">
        <v>24</v>
      </c>
      <c r="F212" t="s">
        <v>637</v>
      </c>
      <c r="G212">
        <v>4</v>
      </c>
      <c r="H212">
        <v>47.98</v>
      </c>
      <c r="I212">
        <v>191.92</v>
      </c>
      <c r="J212" t="s">
        <v>16</v>
      </c>
      <c r="K212" t="s">
        <v>481</v>
      </c>
      <c r="L212">
        <v>3</v>
      </c>
      <c r="M212" t="s">
        <v>1684</v>
      </c>
      <c r="N212" t="s">
        <v>1674</v>
      </c>
      <c r="O212">
        <v>3</v>
      </c>
      <c r="P212" t="s">
        <v>1693</v>
      </c>
    </row>
    <row r="213" spans="1:16" x14ac:dyDescent="0.3">
      <c r="A213" t="s">
        <v>638</v>
      </c>
      <c r="B213" s="1">
        <v>45765</v>
      </c>
      <c r="C213" s="2">
        <v>0.8305555555555556</v>
      </c>
      <c r="D213" t="s">
        <v>639</v>
      </c>
      <c r="E213" t="s">
        <v>20</v>
      </c>
      <c r="F213" t="s">
        <v>402</v>
      </c>
      <c r="G213">
        <v>2</v>
      </c>
      <c r="H213">
        <v>10.09</v>
      </c>
      <c r="I213">
        <v>20.18</v>
      </c>
      <c r="J213" t="s">
        <v>16</v>
      </c>
      <c r="K213" t="s">
        <v>481</v>
      </c>
      <c r="L213">
        <v>2</v>
      </c>
      <c r="M213" t="s">
        <v>1683</v>
      </c>
      <c r="N213" t="s">
        <v>1674</v>
      </c>
      <c r="O213">
        <v>4</v>
      </c>
      <c r="P213" t="s">
        <v>1695</v>
      </c>
    </row>
    <row r="214" spans="1:16" x14ac:dyDescent="0.3">
      <c r="A214" t="s">
        <v>640</v>
      </c>
      <c r="B214" s="1">
        <v>45814</v>
      </c>
      <c r="C214" s="2">
        <v>0.65902777777777777</v>
      </c>
      <c r="D214" t="s">
        <v>641</v>
      </c>
      <c r="E214" t="s">
        <v>20</v>
      </c>
      <c r="F214" t="s">
        <v>642</v>
      </c>
      <c r="G214">
        <v>3</v>
      </c>
      <c r="H214">
        <v>32.51</v>
      </c>
      <c r="I214">
        <v>97.53</v>
      </c>
      <c r="J214" t="s">
        <v>16</v>
      </c>
      <c r="K214" t="s">
        <v>481</v>
      </c>
      <c r="L214">
        <v>4</v>
      </c>
      <c r="M214" t="s">
        <v>1677</v>
      </c>
      <c r="N214" t="s">
        <v>1674</v>
      </c>
      <c r="O214">
        <v>6</v>
      </c>
      <c r="P214" t="s">
        <v>1697</v>
      </c>
    </row>
    <row r="215" spans="1:16" x14ac:dyDescent="0.3">
      <c r="A215" t="s">
        <v>643</v>
      </c>
      <c r="B215" s="1">
        <v>45670</v>
      </c>
      <c r="C215" s="2">
        <v>0.74930555555555556</v>
      </c>
      <c r="D215" t="s">
        <v>644</v>
      </c>
      <c r="E215" t="s">
        <v>35</v>
      </c>
      <c r="F215" t="s">
        <v>259</v>
      </c>
      <c r="G215">
        <v>4</v>
      </c>
      <c r="H215">
        <v>42.75</v>
      </c>
      <c r="I215">
        <v>171</v>
      </c>
      <c r="J215" t="s">
        <v>16</v>
      </c>
      <c r="K215" t="s">
        <v>481</v>
      </c>
      <c r="L215">
        <v>5</v>
      </c>
      <c r="M215" t="s">
        <v>1676</v>
      </c>
      <c r="N215" t="s">
        <v>1674</v>
      </c>
      <c r="O215">
        <v>1</v>
      </c>
      <c r="P215" t="s">
        <v>1694</v>
      </c>
    </row>
    <row r="216" spans="1:16" x14ac:dyDescent="0.3">
      <c r="A216" t="s">
        <v>645</v>
      </c>
      <c r="B216" s="1">
        <v>45709</v>
      </c>
      <c r="C216" s="2">
        <v>0.52708333333333335</v>
      </c>
      <c r="D216" t="s">
        <v>646</v>
      </c>
      <c r="E216" t="s">
        <v>24</v>
      </c>
      <c r="F216" t="s">
        <v>647</v>
      </c>
      <c r="G216">
        <v>6</v>
      </c>
      <c r="H216">
        <v>18.079999999999998</v>
      </c>
      <c r="I216">
        <v>108.48</v>
      </c>
      <c r="J216" t="s">
        <v>16</v>
      </c>
      <c r="K216" t="s">
        <v>481</v>
      </c>
      <c r="L216">
        <v>2</v>
      </c>
      <c r="M216" t="s">
        <v>1674</v>
      </c>
      <c r="N216" t="s">
        <v>1674</v>
      </c>
      <c r="O216">
        <v>2</v>
      </c>
      <c r="P216" t="s">
        <v>1692</v>
      </c>
    </row>
    <row r="217" spans="1:16" x14ac:dyDescent="0.3">
      <c r="A217" t="s">
        <v>648</v>
      </c>
      <c r="B217" s="1">
        <v>45661</v>
      </c>
      <c r="C217" s="2">
        <v>0.71250000000000002</v>
      </c>
      <c r="D217" t="s">
        <v>649</v>
      </c>
      <c r="E217" t="s">
        <v>45</v>
      </c>
      <c r="F217" t="s">
        <v>650</v>
      </c>
      <c r="G217">
        <v>1</v>
      </c>
      <c r="H217">
        <v>22.14</v>
      </c>
      <c r="I217">
        <v>22.14</v>
      </c>
      <c r="J217" t="s">
        <v>16</v>
      </c>
      <c r="K217" t="s">
        <v>481</v>
      </c>
      <c r="L217">
        <v>2</v>
      </c>
      <c r="M217" t="s">
        <v>1676</v>
      </c>
      <c r="N217" t="s">
        <v>1674</v>
      </c>
      <c r="O217">
        <v>1</v>
      </c>
      <c r="P217" t="s">
        <v>1694</v>
      </c>
    </row>
    <row r="218" spans="1:16" x14ac:dyDescent="0.3">
      <c r="A218" t="s">
        <v>651</v>
      </c>
      <c r="B218" s="1">
        <v>45703</v>
      </c>
      <c r="C218" s="2">
        <v>0.7944444444444444</v>
      </c>
      <c r="D218" t="s">
        <v>652</v>
      </c>
      <c r="E218" t="s">
        <v>20</v>
      </c>
      <c r="F218" t="s">
        <v>653</v>
      </c>
      <c r="G218">
        <v>2</v>
      </c>
      <c r="H218">
        <v>48.31</v>
      </c>
      <c r="I218">
        <v>96.62</v>
      </c>
      <c r="J218" t="s">
        <v>16</v>
      </c>
      <c r="K218" t="s">
        <v>481</v>
      </c>
      <c r="L218">
        <v>4</v>
      </c>
      <c r="M218" t="s">
        <v>1683</v>
      </c>
      <c r="N218" t="s">
        <v>1674</v>
      </c>
      <c r="O218">
        <v>2</v>
      </c>
      <c r="P218" t="s">
        <v>1692</v>
      </c>
    </row>
    <row r="219" spans="1:16" x14ac:dyDescent="0.3">
      <c r="A219" t="s">
        <v>654</v>
      </c>
      <c r="B219" s="1">
        <v>45742</v>
      </c>
      <c r="C219" s="2">
        <v>0.69791666666666663</v>
      </c>
      <c r="D219" t="s">
        <v>655</v>
      </c>
      <c r="E219" t="s">
        <v>24</v>
      </c>
      <c r="F219" t="s">
        <v>611</v>
      </c>
      <c r="G219">
        <v>2</v>
      </c>
      <c r="H219">
        <v>6.8</v>
      </c>
      <c r="I219">
        <v>13.6</v>
      </c>
      <c r="J219" t="s">
        <v>16</v>
      </c>
      <c r="K219" t="s">
        <v>481</v>
      </c>
      <c r="L219">
        <v>5</v>
      </c>
      <c r="M219" t="s">
        <v>1687</v>
      </c>
      <c r="N219" t="s">
        <v>1674</v>
      </c>
      <c r="O219">
        <v>3</v>
      </c>
      <c r="P219" t="s">
        <v>1693</v>
      </c>
    </row>
    <row r="220" spans="1:16" x14ac:dyDescent="0.3">
      <c r="A220" t="s">
        <v>656</v>
      </c>
      <c r="B220" s="1">
        <v>45733</v>
      </c>
      <c r="C220" s="2">
        <v>0.53333333333333333</v>
      </c>
      <c r="D220" t="s">
        <v>657</v>
      </c>
      <c r="E220" t="s">
        <v>31</v>
      </c>
      <c r="F220" t="s">
        <v>658</v>
      </c>
      <c r="G220">
        <v>5</v>
      </c>
      <c r="H220">
        <v>28.87</v>
      </c>
      <c r="I220">
        <v>144.35</v>
      </c>
      <c r="J220" t="s">
        <v>16</v>
      </c>
      <c r="K220" t="s">
        <v>481</v>
      </c>
      <c r="L220">
        <v>1</v>
      </c>
      <c r="M220" t="s">
        <v>1674</v>
      </c>
      <c r="N220" t="s">
        <v>1674</v>
      </c>
      <c r="O220">
        <v>3</v>
      </c>
      <c r="P220" t="s">
        <v>1693</v>
      </c>
    </row>
    <row r="221" spans="1:16" x14ac:dyDescent="0.3">
      <c r="A221" t="s">
        <v>659</v>
      </c>
      <c r="B221" s="1">
        <v>45829</v>
      </c>
      <c r="C221" s="2">
        <v>0.60277777777777775</v>
      </c>
      <c r="D221" t="s">
        <v>660</v>
      </c>
      <c r="E221" t="s">
        <v>31</v>
      </c>
      <c r="F221" t="s">
        <v>661</v>
      </c>
      <c r="G221">
        <v>2</v>
      </c>
      <c r="H221">
        <v>45.7</v>
      </c>
      <c r="I221">
        <v>91.4</v>
      </c>
      <c r="J221" t="s">
        <v>16</v>
      </c>
      <c r="K221" t="s">
        <v>481</v>
      </c>
      <c r="L221">
        <v>1</v>
      </c>
      <c r="M221" t="s">
        <v>1684</v>
      </c>
      <c r="N221" t="s">
        <v>1674</v>
      </c>
      <c r="O221">
        <v>6</v>
      </c>
      <c r="P221" t="s">
        <v>1697</v>
      </c>
    </row>
    <row r="222" spans="1:16" x14ac:dyDescent="0.3">
      <c r="A222" t="s">
        <v>662</v>
      </c>
      <c r="B222" s="1">
        <v>45795</v>
      </c>
      <c r="C222" s="2">
        <v>0.70833333333333337</v>
      </c>
      <c r="D222" t="s">
        <v>663</v>
      </c>
      <c r="E222" t="s">
        <v>20</v>
      </c>
      <c r="F222" t="s">
        <v>664</v>
      </c>
      <c r="G222">
        <v>6</v>
      </c>
      <c r="H222">
        <v>7.95</v>
      </c>
      <c r="I222">
        <v>47.7</v>
      </c>
      <c r="J222" t="s">
        <v>16</v>
      </c>
      <c r="K222" t="s">
        <v>481</v>
      </c>
      <c r="L222">
        <v>4</v>
      </c>
      <c r="M222" t="s">
        <v>1676</v>
      </c>
      <c r="N222" t="s">
        <v>1674</v>
      </c>
      <c r="O222">
        <v>5</v>
      </c>
      <c r="P222" t="s">
        <v>1696</v>
      </c>
    </row>
    <row r="223" spans="1:16" x14ac:dyDescent="0.3">
      <c r="A223" t="s">
        <v>665</v>
      </c>
      <c r="B223" s="1">
        <v>45826</v>
      </c>
      <c r="C223" s="2">
        <v>0.69097222222222221</v>
      </c>
      <c r="D223" t="s">
        <v>666</v>
      </c>
      <c r="E223" t="s">
        <v>31</v>
      </c>
      <c r="F223" t="s">
        <v>667</v>
      </c>
      <c r="G223">
        <v>2</v>
      </c>
      <c r="H223">
        <v>16.93</v>
      </c>
      <c r="I223">
        <v>33.86</v>
      </c>
      <c r="J223" t="s">
        <v>668</v>
      </c>
      <c r="K223" t="s">
        <v>481</v>
      </c>
      <c r="L223">
        <v>5</v>
      </c>
      <c r="M223" t="s">
        <v>1687</v>
      </c>
      <c r="N223" t="s">
        <v>1674</v>
      </c>
      <c r="O223">
        <v>6</v>
      </c>
      <c r="P223" t="s">
        <v>1697</v>
      </c>
    </row>
    <row r="224" spans="1:16" x14ac:dyDescent="0.3">
      <c r="A224" t="s">
        <v>669</v>
      </c>
      <c r="B224" s="1">
        <v>45830</v>
      </c>
      <c r="C224" s="2">
        <v>0.82013888888888886</v>
      </c>
      <c r="D224" t="s">
        <v>670</v>
      </c>
      <c r="E224" t="s">
        <v>20</v>
      </c>
      <c r="F224" t="s">
        <v>453</v>
      </c>
      <c r="G224">
        <v>1</v>
      </c>
      <c r="H224">
        <v>7.73</v>
      </c>
      <c r="I224">
        <v>7.73</v>
      </c>
      <c r="J224" t="s">
        <v>668</v>
      </c>
      <c r="K224" t="s">
        <v>481</v>
      </c>
      <c r="L224">
        <v>2</v>
      </c>
      <c r="M224" t="s">
        <v>1683</v>
      </c>
      <c r="N224" t="s">
        <v>1674</v>
      </c>
      <c r="O224">
        <v>6</v>
      </c>
      <c r="P224" t="s">
        <v>1697</v>
      </c>
    </row>
    <row r="225" spans="1:16" x14ac:dyDescent="0.3">
      <c r="A225" t="s">
        <v>671</v>
      </c>
      <c r="B225" s="1">
        <v>45802</v>
      </c>
      <c r="C225" s="2">
        <v>0.72222222222222221</v>
      </c>
      <c r="D225" t="s">
        <v>672</v>
      </c>
      <c r="E225" t="s">
        <v>20</v>
      </c>
      <c r="F225" t="s">
        <v>471</v>
      </c>
      <c r="G225">
        <v>3</v>
      </c>
      <c r="H225">
        <v>14.19</v>
      </c>
      <c r="I225">
        <v>42.57</v>
      </c>
      <c r="J225" t="s">
        <v>668</v>
      </c>
      <c r="K225" t="s">
        <v>481</v>
      </c>
      <c r="L225">
        <v>3</v>
      </c>
      <c r="M225" t="s">
        <v>1676</v>
      </c>
      <c r="N225" t="s">
        <v>1674</v>
      </c>
      <c r="O225">
        <v>5</v>
      </c>
      <c r="P225" t="s">
        <v>1696</v>
      </c>
    </row>
    <row r="226" spans="1:16" x14ac:dyDescent="0.3">
      <c r="A226" t="s">
        <v>673</v>
      </c>
      <c r="B226" s="1">
        <v>45817</v>
      </c>
      <c r="C226" s="2">
        <v>0.75416666666666665</v>
      </c>
      <c r="D226" t="s">
        <v>674</v>
      </c>
      <c r="E226" t="s">
        <v>31</v>
      </c>
      <c r="F226" t="s">
        <v>675</v>
      </c>
      <c r="G226">
        <v>1</v>
      </c>
      <c r="H226">
        <v>29.19</v>
      </c>
      <c r="I226">
        <v>29.19</v>
      </c>
      <c r="J226" t="s">
        <v>668</v>
      </c>
      <c r="K226" t="s">
        <v>481</v>
      </c>
      <c r="L226">
        <v>3</v>
      </c>
      <c r="M226" t="s">
        <v>1682</v>
      </c>
      <c r="N226" t="s">
        <v>1674</v>
      </c>
      <c r="O226">
        <v>6</v>
      </c>
      <c r="P226" t="s">
        <v>1697</v>
      </c>
    </row>
    <row r="227" spans="1:16" x14ac:dyDescent="0.3">
      <c r="A227" t="s">
        <v>676</v>
      </c>
      <c r="B227" s="1">
        <v>45822</v>
      </c>
      <c r="C227" s="2">
        <v>0.72569444444444442</v>
      </c>
      <c r="D227" t="s">
        <v>677</v>
      </c>
      <c r="E227" t="s">
        <v>31</v>
      </c>
      <c r="F227" t="s">
        <v>678</v>
      </c>
      <c r="G227">
        <v>6</v>
      </c>
      <c r="H227">
        <v>49.15</v>
      </c>
      <c r="I227">
        <v>294.89999999999998</v>
      </c>
      <c r="J227" t="s">
        <v>668</v>
      </c>
      <c r="K227" t="s">
        <v>481</v>
      </c>
      <c r="L227">
        <v>1</v>
      </c>
      <c r="M227" t="s">
        <v>1676</v>
      </c>
      <c r="N227" t="s">
        <v>1674</v>
      </c>
      <c r="O227">
        <v>6</v>
      </c>
      <c r="P227" t="s">
        <v>1697</v>
      </c>
    </row>
    <row r="228" spans="1:16" x14ac:dyDescent="0.3">
      <c r="A228" t="s">
        <v>679</v>
      </c>
      <c r="B228" s="1">
        <v>45803</v>
      </c>
      <c r="C228" s="2">
        <v>0.55902777777777779</v>
      </c>
      <c r="D228" t="s">
        <v>680</v>
      </c>
      <c r="E228" t="s">
        <v>24</v>
      </c>
      <c r="F228" t="s">
        <v>681</v>
      </c>
      <c r="G228">
        <v>5</v>
      </c>
      <c r="H228">
        <v>42.52</v>
      </c>
      <c r="I228">
        <v>212.6</v>
      </c>
      <c r="J228" t="s">
        <v>668</v>
      </c>
      <c r="K228" t="s">
        <v>481</v>
      </c>
      <c r="L228">
        <v>4</v>
      </c>
      <c r="M228" t="s">
        <v>1688</v>
      </c>
      <c r="N228" t="s">
        <v>1674</v>
      </c>
      <c r="O228">
        <v>5</v>
      </c>
      <c r="P228" t="s">
        <v>1696</v>
      </c>
    </row>
    <row r="229" spans="1:16" x14ac:dyDescent="0.3">
      <c r="A229" t="s">
        <v>682</v>
      </c>
      <c r="B229" s="1">
        <v>45772</v>
      </c>
      <c r="C229" s="2">
        <v>0.96527777777777779</v>
      </c>
      <c r="D229" t="s">
        <v>683</v>
      </c>
      <c r="E229" t="s">
        <v>35</v>
      </c>
      <c r="F229" t="s">
        <v>171</v>
      </c>
      <c r="G229">
        <v>6</v>
      </c>
      <c r="H229">
        <v>43.77</v>
      </c>
      <c r="I229">
        <v>262.62</v>
      </c>
      <c r="J229" t="s">
        <v>668</v>
      </c>
      <c r="K229" t="s">
        <v>481</v>
      </c>
      <c r="L229">
        <v>3</v>
      </c>
      <c r="M229" t="s">
        <v>1678</v>
      </c>
      <c r="N229" t="s">
        <v>1674</v>
      </c>
      <c r="O229">
        <v>4</v>
      </c>
      <c r="P229" t="s">
        <v>1695</v>
      </c>
    </row>
    <row r="230" spans="1:16" x14ac:dyDescent="0.3">
      <c r="A230" t="s">
        <v>684</v>
      </c>
      <c r="B230" s="1">
        <v>45812</v>
      </c>
      <c r="C230" s="2">
        <v>0.96805555555555556</v>
      </c>
      <c r="D230" t="s">
        <v>685</v>
      </c>
      <c r="E230" t="s">
        <v>35</v>
      </c>
      <c r="F230" t="s">
        <v>686</v>
      </c>
      <c r="G230">
        <v>4</v>
      </c>
      <c r="H230">
        <v>14.87</v>
      </c>
      <c r="I230">
        <v>59.48</v>
      </c>
      <c r="J230" t="s">
        <v>668</v>
      </c>
      <c r="K230" t="s">
        <v>481</v>
      </c>
      <c r="L230">
        <v>4</v>
      </c>
      <c r="M230" t="s">
        <v>1678</v>
      </c>
      <c r="N230" t="s">
        <v>1674</v>
      </c>
      <c r="O230">
        <v>6</v>
      </c>
      <c r="P230" t="s">
        <v>1697</v>
      </c>
    </row>
    <row r="231" spans="1:16" x14ac:dyDescent="0.3">
      <c r="A231" t="s">
        <v>687</v>
      </c>
      <c r="B231" s="1">
        <v>45692</v>
      </c>
      <c r="C231" s="2">
        <v>0.93680555555555556</v>
      </c>
      <c r="D231" t="s">
        <v>688</v>
      </c>
      <c r="E231" t="s">
        <v>35</v>
      </c>
      <c r="F231" t="s">
        <v>689</v>
      </c>
      <c r="G231">
        <v>2</v>
      </c>
      <c r="H231">
        <v>7.26</v>
      </c>
      <c r="I231">
        <v>14.52</v>
      </c>
      <c r="J231" t="s">
        <v>668</v>
      </c>
      <c r="K231" t="s">
        <v>481</v>
      </c>
      <c r="L231">
        <v>4</v>
      </c>
      <c r="M231" t="s">
        <v>1680</v>
      </c>
      <c r="N231" t="s">
        <v>1674</v>
      </c>
      <c r="O231">
        <v>2</v>
      </c>
      <c r="P231" t="s">
        <v>1692</v>
      </c>
    </row>
    <row r="232" spans="1:16" x14ac:dyDescent="0.3">
      <c r="A232" t="s">
        <v>690</v>
      </c>
      <c r="B232" s="1">
        <v>45741</v>
      </c>
      <c r="C232" s="2">
        <v>0.6166666666666667</v>
      </c>
      <c r="D232" t="s">
        <v>691</v>
      </c>
      <c r="E232" t="s">
        <v>35</v>
      </c>
      <c r="F232" t="s">
        <v>642</v>
      </c>
      <c r="G232">
        <v>4</v>
      </c>
      <c r="H232">
        <v>17.52</v>
      </c>
      <c r="I232">
        <v>70.08</v>
      </c>
      <c r="J232" t="s">
        <v>668</v>
      </c>
      <c r="K232" t="s">
        <v>481</v>
      </c>
      <c r="L232">
        <v>4</v>
      </c>
      <c r="M232" t="s">
        <v>1684</v>
      </c>
      <c r="N232" t="s">
        <v>1674</v>
      </c>
      <c r="O232">
        <v>3</v>
      </c>
      <c r="P232" t="s">
        <v>1693</v>
      </c>
    </row>
    <row r="233" spans="1:16" x14ac:dyDescent="0.3">
      <c r="A233" t="s">
        <v>692</v>
      </c>
      <c r="B233" s="1">
        <v>45683</v>
      </c>
      <c r="C233" s="2">
        <v>0.92500000000000004</v>
      </c>
      <c r="D233" t="s">
        <v>693</v>
      </c>
      <c r="E233" t="s">
        <v>14</v>
      </c>
      <c r="F233" t="s">
        <v>694</v>
      </c>
      <c r="G233">
        <v>3</v>
      </c>
      <c r="H233">
        <v>15.24</v>
      </c>
      <c r="I233">
        <v>45.72</v>
      </c>
      <c r="J233" t="s">
        <v>668</v>
      </c>
      <c r="K233" t="s">
        <v>481</v>
      </c>
      <c r="L233">
        <v>5</v>
      </c>
      <c r="M233" t="s">
        <v>1680</v>
      </c>
      <c r="N233" t="s">
        <v>1674</v>
      </c>
      <c r="O233">
        <v>1</v>
      </c>
      <c r="P233" t="s">
        <v>1694</v>
      </c>
    </row>
    <row r="234" spans="1:16" x14ac:dyDescent="0.3">
      <c r="A234" t="s">
        <v>695</v>
      </c>
      <c r="B234" s="1">
        <v>45805</v>
      </c>
      <c r="C234" s="2">
        <v>0.82152777777777775</v>
      </c>
      <c r="D234" t="s">
        <v>696</v>
      </c>
      <c r="E234" t="s">
        <v>31</v>
      </c>
      <c r="F234" t="s">
        <v>55</v>
      </c>
      <c r="G234">
        <v>1</v>
      </c>
      <c r="H234">
        <v>11.83</v>
      </c>
      <c r="I234">
        <v>11.83</v>
      </c>
      <c r="J234" t="s">
        <v>668</v>
      </c>
      <c r="K234" t="s">
        <v>481</v>
      </c>
      <c r="L234">
        <v>2</v>
      </c>
      <c r="M234" t="s">
        <v>1683</v>
      </c>
      <c r="N234" t="s">
        <v>1674</v>
      </c>
      <c r="O234">
        <v>5</v>
      </c>
      <c r="P234" t="s">
        <v>1696</v>
      </c>
    </row>
    <row r="235" spans="1:16" x14ac:dyDescent="0.3">
      <c r="A235" t="s">
        <v>697</v>
      </c>
      <c r="B235" s="1">
        <v>45719</v>
      </c>
      <c r="C235" s="2">
        <v>0.84027777777777779</v>
      </c>
      <c r="D235" t="s">
        <v>698</v>
      </c>
      <c r="E235" t="s">
        <v>31</v>
      </c>
      <c r="F235" t="s">
        <v>699</v>
      </c>
      <c r="G235">
        <v>3</v>
      </c>
      <c r="H235">
        <v>29.79</v>
      </c>
      <c r="I235">
        <v>89.37</v>
      </c>
      <c r="J235" t="s">
        <v>668</v>
      </c>
      <c r="K235" t="s">
        <v>481</v>
      </c>
      <c r="L235">
        <v>2</v>
      </c>
      <c r="M235" t="s">
        <v>1681</v>
      </c>
      <c r="N235" t="s">
        <v>1674</v>
      </c>
      <c r="O235">
        <v>3</v>
      </c>
      <c r="P235" t="s">
        <v>1693</v>
      </c>
    </row>
    <row r="236" spans="1:16" x14ac:dyDescent="0.3">
      <c r="A236" t="s">
        <v>700</v>
      </c>
      <c r="B236" s="1">
        <v>45820</v>
      </c>
      <c r="C236" s="2">
        <v>0.87152777777777779</v>
      </c>
      <c r="D236" t="s">
        <v>701</v>
      </c>
      <c r="E236" t="s">
        <v>20</v>
      </c>
      <c r="F236" t="s">
        <v>702</v>
      </c>
      <c r="G236">
        <v>1</v>
      </c>
      <c r="H236">
        <v>24.97</v>
      </c>
      <c r="I236">
        <v>24.97</v>
      </c>
      <c r="J236" t="s">
        <v>668</v>
      </c>
      <c r="K236" t="s">
        <v>481</v>
      </c>
      <c r="L236">
        <v>1</v>
      </c>
      <c r="M236" t="s">
        <v>1681</v>
      </c>
      <c r="N236" t="s">
        <v>1674</v>
      </c>
      <c r="O236">
        <v>6</v>
      </c>
      <c r="P236" t="s">
        <v>1697</v>
      </c>
    </row>
    <row r="237" spans="1:16" x14ac:dyDescent="0.3">
      <c r="A237" t="s">
        <v>703</v>
      </c>
      <c r="B237" s="1">
        <v>45818</v>
      </c>
      <c r="C237" s="2">
        <v>0.45624999999999999</v>
      </c>
      <c r="D237" t="s">
        <v>704</v>
      </c>
      <c r="E237" t="s">
        <v>24</v>
      </c>
      <c r="F237" t="s">
        <v>705</v>
      </c>
      <c r="G237">
        <v>6</v>
      </c>
      <c r="H237">
        <v>34.090000000000003</v>
      </c>
      <c r="I237">
        <v>204.54</v>
      </c>
      <c r="J237" t="s">
        <v>668</v>
      </c>
      <c r="K237" t="s">
        <v>481</v>
      </c>
      <c r="L237">
        <v>5</v>
      </c>
      <c r="M237" t="s">
        <v>1685</v>
      </c>
      <c r="N237" t="s">
        <v>1674</v>
      </c>
      <c r="O237">
        <v>6</v>
      </c>
      <c r="P237" t="s">
        <v>1697</v>
      </c>
    </row>
    <row r="238" spans="1:16" x14ac:dyDescent="0.3">
      <c r="A238" t="s">
        <v>706</v>
      </c>
      <c r="B238" s="1">
        <v>45830</v>
      </c>
      <c r="C238" s="2">
        <v>0.86319444444444449</v>
      </c>
      <c r="D238" t="s">
        <v>707</v>
      </c>
      <c r="E238" t="s">
        <v>20</v>
      </c>
      <c r="F238" t="s">
        <v>79</v>
      </c>
      <c r="G238">
        <v>3</v>
      </c>
      <c r="H238">
        <v>31.31</v>
      </c>
      <c r="I238">
        <v>93.93</v>
      </c>
      <c r="J238" t="s">
        <v>668</v>
      </c>
      <c r="K238" t="s">
        <v>481</v>
      </c>
      <c r="L238">
        <v>2</v>
      </c>
      <c r="M238" t="s">
        <v>1681</v>
      </c>
      <c r="N238" t="s">
        <v>1674</v>
      </c>
      <c r="O238">
        <v>6</v>
      </c>
      <c r="P238" t="s">
        <v>1697</v>
      </c>
    </row>
    <row r="239" spans="1:16" x14ac:dyDescent="0.3">
      <c r="A239" t="s">
        <v>708</v>
      </c>
      <c r="B239" s="1">
        <v>45823</v>
      </c>
      <c r="C239" s="2">
        <v>0.5854166666666667</v>
      </c>
      <c r="D239" t="s">
        <v>709</v>
      </c>
      <c r="E239" t="s">
        <v>45</v>
      </c>
      <c r="F239" t="s">
        <v>710</v>
      </c>
      <c r="G239">
        <v>4</v>
      </c>
      <c r="H239">
        <v>17.41</v>
      </c>
      <c r="I239">
        <v>69.64</v>
      </c>
      <c r="J239" t="s">
        <v>668</v>
      </c>
      <c r="K239" t="s">
        <v>481</v>
      </c>
      <c r="L239">
        <v>2</v>
      </c>
      <c r="M239" t="s">
        <v>1684</v>
      </c>
      <c r="N239" t="s">
        <v>1674</v>
      </c>
      <c r="O239">
        <v>6</v>
      </c>
      <c r="P239" t="s">
        <v>1697</v>
      </c>
    </row>
    <row r="240" spans="1:16" x14ac:dyDescent="0.3">
      <c r="A240" t="s">
        <v>711</v>
      </c>
      <c r="B240" s="1">
        <v>45810</v>
      </c>
      <c r="C240" s="2">
        <v>0.38680555555555557</v>
      </c>
      <c r="D240" t="s">
        <v>712</v>
      </c>
      <c r="E240" t="s">
        <v>31</v>
      </c>
      <c r="F240" t="s">
        <v>713</v>
      </c>
      <c r="G240">
        <v>2</v>
      </c>
      <c r="H240">
        <v>49.44</v>
      </c>
      <c r="I240">
        <v>98.88</v>
      </c>
      <c r="J240" t="s">
        <v>668</v>
      </c>
      <c r="K240" t="s">
        <v>481</v>
      </c>
      <c r="L240">
        <v>1</v>
      </c>
      <c r="M240" t="s">
        <v>1679</v>
      </c>
      <c r="N240" t="s">
        <v>1674</v>
      </c>
      <c r="O240">
        <v>6</v>
      </c>
      <c r="P240" t="s">
        <v>1697</v>
      </c>
    </row>
    <row r="241" spans="1:16" x14ac:dyDescent="0.3">
      <c r="A241" t="s">
        <v>714</v>
      </c>
      <c r="B241" s="1">
        <v>45735</v>
      </c>
      <c r="C241" s="2">
        <v>0.53402777777777777</v>
      </c>
      <c r="D241" t="s">
        <v>715</v>
      </c>
      <c r="E241" t="s">
        <v>24</v>
      </c>
      <c r="F241" t="s">
        <v>716</v>
      </c>
      <c r="G241">
        <v>2</v>
      </c>
      <c r="H241">
        <v>39.39</v>
      </c>
      <c r="I241">
        <v>78.78</v>
      </c>
      <c r="J241" t="s">
        <v>668</v>
      </c>
      <c r="K241" t="s">
        <v>481</v>
      </c>
      <c r="L241">
        <v>1</v>
      </c>
      <c r="M241" t="s">
        <v>1674</v>
      </c>
      <c r="N241" t="s">
        <v>1674</v>
      </c>
      <c r="O241">
        <v>3</v>
      </c>
      <c r="P241" t="s">
        <v>1693</v>
      </c>
    </row>
    <row r="242" spans="1:16" x14ac:dyDescent="0.3">
      <c r="A242" t="s">
        <v>717</v>
      </c>
      <c r="B242" s="1">
        <v>45822</v>
      </c>
      <c r="C242" s="2">
        <v>0.81874999999999998</v>
      </c>
      <c r="D242" t="s">
        <v>718</v>
      </c>
      <c r="E242" t="s">
        <v>20</v>
      </c>
      <c r="F242" t="s">
        <v>719</v>
      </c>
      <c r="G242">
        <v>3</v>
      </c>
      <c r="H242">
        <v>43.89</v>
      </c>
      <c r="I242">
        <v>131.66999999999999</v>
      </c>
      <c r="J242" t="s">
        <v>668</v>
      </c>
      <c r="K242" t="s">
        <v>481</v>
      </c>
      <c r="L242">
        <v>4</v>
      </c>
      <c r="M242" t="s">
        <v>1683</v>
      </c>
      <c r="N242" t="s">
        <v>1674</v>
      </c>
      <c r="O242">
        <v>6</v>
      </c>
      <c r="P242" t="s">
        <v>1697</v>
      </c>
    </row>
    <row r="243" spans="1:16" x14ac:dyDescent="0.3">
      <c r="A243" t="s">
        <v>720</v>
      </c>
      <c r="B243" s="1">
        <v>45753</v>
      </c>
      <c r="C243" s="2">
        <v>0.51666666666666672</v>
      </c>
      <c r="D243" t="s">
        <v>721</v>
      </c>
      <c r="E243" t="s">
        <v>45</v>
      </c>
      <c r="F243" t="s">
        <v>722</v>
      </c>
      <c r="G243">
        <v>1</v>
      </c>
      <c r="H243">
        <v>21.87</v>
      </c>
      <c r="I243">
        <v>21.87</v>
      </c>
      <c r="J243" t="s">
        <v>668</v>
      </c>
      <c r="K243" t="s">
        <v>481</v>
      </c>
      <c r="L243">
        <v>3</v>
      </c>
      <c r="M243" t="s">
        <v>1674</v>
      </c>
      <c r="N243" t="s">
        <v>1674</v>
      </c>
      <c r="O243">
        <v>4</v>
      </c>
      <c r="P243" t="s">
        <v>1695</v>
      </c>
    </row>
    <row r="244" spans="1:16" x14ac:dyDescent="0.3">
      <c r="A244" t="s">
        <v>723</v>
      </c>
      <c r="B244" s="1">
        <v>45819</v>
      </c>
      <c r="C244" s="2">
        <v>0.73333333333333328</v>
      </c>
      <c r="D244" t="s">
        <v>724</v>
      </c>
      <c r="E244" t="s">
        <v>24</v>
      </c>
      <c r="F244" t="s">
        <v>725</v>
      </c>
      <c r="G244">
        <v>2</v>
      </c>
      <c r="H244">
        <v>37.33</v>
      </c>
      <c r="I244">
        <v>74.66</v>
      </c>
      <c r="J244" t="s">
        <v>668</v>
      </c>
      <c r="K244" t="s">
        <v>481</v>
      </c>
      <c r="L244">
        <v>5</v>
      </c>
      <c r="M244" t="s">
        <v>1676</v>
      </c>
      <c r="N244" t="s">
        <v>1674</v>
      </c>
      <c r="O244">
        <v>6</v>
      </c>
      <c r="P244" t="s">
        <v>1697</v>
      </c>
    </row>
    <row r="245" spans="1:16" x14ac:dyDescent="0.3">
      <c r="A245" t="s">
        <v>726</v>
      </c>
      <c r="B245" s="1">
        <v>45831</v>
      </c>
      <c r="C245" s="2">
        <v>0.45902777777777776</v>
      </c>
      <c r="D245" t="s">
        <v>727</v>
      </c>
      <c r="E245" t="s">
        <v>20</v>
      </c>
      <c r="F245" t="s">
        <v>728</v>
      </c>
      <c r="G245">
        <v>2</v>
      </c>
      <c r="H245">
        <v>43.19</v>
      </c>
      <c r="I245">
        <v>86.38</v>
      </c>
      <c r="J245" t="s">
        <v>668</v>
      </c>
      <c r="K245" t="s">
        <v>481</v>
      </c>
      <c r="L245">
        <v>2</v>
      </c>
      <c r="M245" t="s">
        <v>1675</v>
      </c>
      <c r="N245" t="s">
        <v>1674</v>
      </c>
      <c r="O245">
        <v>6</v>
      </c>
      <c r="P245" t="s">
        <v>1697</v>
      </c>
    </row>
    <row r="246" spans="1:16" x14ac:dyDescent="0.3">
      <c r="A246" t="s">
        <v>729</v>
      </c>
      <c r="B246" s="1">
        <v>45807</v>
      </c>
      <c r="C246" s="2">
        <v>0.67361111111111116</v>
      </c>
      <c r="D246" t="s">
        <v>730</v>
      </c>
      <c r="E246" t="s">
        <v>31</v>
      </c>
      <c r="F246" t="s">
        <v>209</v>
      </c>
      <c r="G246">
        <v>5</v>
      </c>
      <c r="H246">
        <v>33.31</v>
      </c>
      <c r="I246">
        <v>166.55</v>
      </c>
      <c r="J246" t="s">
        <v>668</v>
      </c>
      <c r="K246" t="s">
        <v>481</v>
      </c>
      <c r="L246">
        <v>2</v>
      </c>
      <c r="M246" t="s">
        <v>1687</v>
      </c>
      <c r="N246" t="s">
        <v>1674</v>
      </c>
      <c r="O246">
        <v>5</v>
      </c>
      <c r="P246" t="s">
        <v>1696</v>
      </c>
    </row>
    <row r="247" spans="1:16" x14ac:dyDescent="0.3">
      <c r="A247" t="s">
        <v>731</v>
      </c>
      <c r="B247" s="1">
        <v>45731</v>
      </c>
      <c r="C247" s="2">
        <v>0.44166666666666665</v>
      </c>
      <c r="D247" t="s">
        <v>732</v>
      </c>
      <c r="E247" t="s">
        <v>35</v>
      </c>
      <c r="F247" t="s">
        <v>67</v>
      </c>
      <c r="G247">
        <v>6</v>
      </c>
      <c r="H247">
        <v>29.44</v>
      </c>
      <c r="I247">
        <v>176.64</v>
      </c>
      <c r="J247" t="s">
        <v>668</v>
      </c>
      <c r="K247" t="s">
        <v>481</v>
      </c>
      <c r="L247">
        <v>3</v>
      </c>
      <c r="M247" t="s">
        <v>1685</v>
      </c>
      <c r="N247" t="s">
        <v>1674</v>
      </c>
      <c r="O247">
        <v>3</v>
      </c>
      <c r="P247" t="s">
        <v>1693</v>
      </c>
    </row>
    <row r="248" spans="1:16" x14ac:dyDescent="0.3">
      <c r="A248" t="s">
        <v>733</v>
      </c>
      <c r="B248" s="1">
        <v>45821</v>
      </c>
      <c r="C248" s="2">
        <v>0.50208333333333333</v>
      </c>
      <c r="D248" t="s">
        <v>734</v>
      </c>
      <c r="E248" t="s">
        <v>20</v>
      </c>
      <c r="F248" t="s">
        <v>735</v>
      </c>
      <c r="G248">
        <v>1</v>
      </c>
      <c r="H248">
        <v>23.6</v>
      </c>
      <c r="I248">
        <v>23.6</v>
      </c>
      <c r="J248" t="s">
        <v>668</v>
      </c>
      <c r="K248" t="s">
        <v>481</v>
      </c>
      <c r="L248">
        <v>2</v>
      </c>
      <c r="M248" t="s">
        <v>1674</v>
      </c>
      <c r="N248" t="s">
        <v>1674</v>
      </c>
      <c r="O248">
        <v>6</v>
      </c>
      <c r="P248" t="s">
        <v>1697</v>
      </c>
    </row>
    <row r="249" spans="1:16" x14ac:dyDescent="0.3">
      <c r="A249" t="s">
        <v>736</v>
      </c>
      <c r="B249" s="1">
        <v>45794</v>
      </c>
      <c r="C249" s="2">
        <v>0.86527777777777781</v>
      </c>
      <c r="D249" t="s">
        <v>737</v>
      </c>
      <c r="E249" t="s">
        <v>14</v>
      </c>
      <c r="F249" t="s">
        <v>738</v>
      </c>
      <c r="G249">
        <v>1</v>
      </c>
      <c r="H249">
        <v>46.1</v>
      </c>
      <c r="I249">
        <v>46.1</v>
      </c>
      <c r="J249" t="s">
        <v>668</v>
      </c>
      <c r="K249" t="s">
        <v>481</v>
      </c>
      <c r="L249">
        <v>1</v>
      </c>
      <c r="M249" t="s">
        <v>1681</v>
      </c>
      <c r="N249" t="s">
        <v>1674</v>
      </c>
      <c r="O249">
        <v>5</v>
      </c>
      <c r="P249" t="s">
        <v>1696</v>
      </c>
    </row>
    <row r="250" spans="1:16" x14ac:dyDescent="0.3">
      <c r="A250" t="s">
        <v>739</v>
      </c>
      <c r="B250" s="1">
        <v>45692</v>
      </c>
      <c r="C250" s="2">
        <v>0.93888888888888888</v>
      </c>
      <c r="D250" t="s">
        <v>740</v>
      </c>
      <c r="E250" t="s">
        <v>45</v>
      </c>
      <c r="F250" t="s">
        <v>741</v>
      </c>
      <c r="G250">
        <v>4</v>
      </c>
      <c r="H250">
        <v>17.28</v>
      </c>
      <c r="I250">
        <v>69.12</v>
      </c>
      <c r="J250" t="s">
        <v>668</v>
      </c>
      <c r="K250" t="s">
        <v>481</v>
      </c>
      <c r="L250">
        <v>4</v>
      </c>
      <c r="M250" t="s">
        <v>1680</v>
      </c>
      <c r="N250" t="s">
        <v>1674</v>
      </c>
      <c r="O250">
        <v>2</v>
      </c>
      <c r="P250" t="s">
        <v>1692</v>
      </c>
    </row>
    <row r="251" spans="1:16" x14ac:dyDescent="0.3">
      <c r="A251" t="s">
        <v>742</v>
      </c>
      <c r="B251" s="1">
        <v>45760</v>
      </c>
      <c r="C251" s="2">
        <v>0.79583333333333328</v>
      </c>
      <c r="D251" t="s">
        <v>743</v>
      </c>
      <c r="E251" t="s">
        <v>35</v>
      </c>
      <c r="F251" t="s">
        <v>224</v>
      </c>
      <c r="G251">
        <v>2</v>
      </c>
      <c r="H251">
        <v>49.18</v>
      </c>
      <c r="I251">
        <v>98.36</v>
      </c>
      <c r="J251" t="s">
        <v>668</v>
      </c>
      <c r="K251" t="s">
        <v>481</v>
      </c>
      <c r="L251">
        <v>1</v>
      </c>
      <c r="M251" t="s">
        <v>1683</v>
      </c>
      <c r="N251" t="s">
        <v>1674</v>
      </c>
      <c r="O251">
        <v>4</v>
      </c>
      <c r="P251" t="s">
        <v>1695</v>
      </c>
    </row>
    <row r="252" spans="1:16" x14ac:dyDescent="0.3">
      <c r="A252" t="s">
        <v>744</v>
      </c>
      <c r="B252" s="1">
        <v>45807</v>
      </c>
      <c r="C252" s="2">
        <v>0.67013888888888884</v>
      </c>
      <c r="D252" t="s">
        <v>745</v>
      </c>
      <c r="E252" t="s">
        <v>45</v>
      </c>
      <c r="F252" t="s">
        <v>746</v>
      </c>
      <c r="G252">
        <v>5</v>
      </c>
      <c r="H252">
        <v>25.05</v>
      </c>
      <c r="I252">
        <v>125.25</v>
      </c>
      <c r="J252" t="s">
        <v>668</v>
      </c>
      <c r="K252" t="s">
        <v>481</v>
      </c>
      <c r="L252">
        <v>5</v>
      </c>
      <c r="M252" t="s">
        <v>1687</v>
      </c>
      <c r="N252" t="s">
        <v>1674</v>
      </c>
      <c r="O252">
        <v>5</v>
      </c>
      <c r="P252" t="s">
        <v>1696</v>
      </c>
    </row>
    <row r="253" spans="1:16" x14ac:dyDescent="0.3">
      <c r="A253" t="s">
        <v>747</v>
      </c>
      <c r="B253" s="1">
        <v>45746</v>
      </c>
      <c r="C253" s="2">
        <v>0.83611111111111114</v>
      </c>
      <c r="D253" t="s">
        <v>748</v>
      </c>
      <c r="E253" t="s">
        <v>45</v>
      </c>
      <c r="F253" t="s">
        <v>749</v>
      </c>
      <c r="G253">
        <v>5</v>
      </c>
      <c r="H253">
        <v>49.74</v>
      </c>
      <c r="I253">
        <v>248.7</v>
      </c>
      <c r="J253" t="s">
        <v>668</v>
      </c>
      <c r="K253" t="s">
        <v>481</v>
      </c>
      <c r="L253">
        <v>3</v>
      </c>
      <c r="M253" t="s">
        <v>1681</v>
      </c>
      <c r="N253" t="s">
        <v>1674</v>
      </c>
      <c r="O253">
        <v>3</v>
      </c>
      <c r="P253" t="s">
        <v>1693</v>
      </c>
    </row>
    <row r="254" spans="1:16" x14ac:dyDescent="0.3">
      <c r="A254" t="s">
        <v>750</v>
      </c>
      <c r="B254" s="1">
        <v>45780</v>
      </c>
      <c r="C254" s="2">
        <v>0.96875</v>
      </c>
      <c r="D254" t="s">
        <v>751</v>
      </c>
      <c r="E254" t="s">
        <v>14</v>
      </c>
      <c r="F254" t="s">
        <v>752</v>
      </c>
      <c r="G254">
        <v>6</v>
      </c>
      <c r="H254">
        <v>32.200000000000003</v>
      </c>
      <c r="I254">
        <v>193.2</v>
      </c>
      <c r="J254" t="s">
        <v>668</v>
      </c>
      <c r="K254" t="s">
        <v>481</v>
      </c>
      <c r="L254">
        <v>5</v>
      </c>
      <c r="M254" t="s">
        <v>1678</v>
      </c>
      <c r="N254" t="s">
        <v>1674</v>
      </c>
      <c r="O254">
        <v>5</v>
      </c>
      <c r="P254" t="s">
        <v>1696</v>
      </c>
    </row>
    <row r="255" spans="1:16" x14ac:dyDescent="0.3">
      <c r="A255" t="s">
        <v>753</v>
      </c>
      <c r="B255" s="1">
        <v>45724</v>
      </c>
      <c r="C255" s="2">
        <v>0.74930555555555556</v>
      </c>
      <c r="D255" t="s">
        <v>754</v>
      </c>
      <c r="E255" t="s">
        <v>35</v>
      </c>
      <c r="F255" t="s">
        <v>755</v>
      </c>
      <c r="G255">
        <v>5</v>
      </c>
      <c r="H255">
        <v>31.06</v>
      </c>
      <c r="I255">
        <v>155.30000000000001</v>
      </c>
      <c r="J255" t="s">
        <v>668</v>
      </c>
      <c r="K255" t="s">
        <v>481</v>
      </c>
      <c r="L255">
        <v>2</v>
      </c>
      <c r="M255" t="s">
        <v>1676</v>
      </c>
      <c r="N255" t="s">
        <v>1674</v>
      </c>
      <c r="O255">
        <v>3</v>
      </c>
      <c r="P255" t="s">
        <v>1693</v>
      </c>
    </row>
    <row r="256" spans="1:16" x14ac:dyDescent="0.3">
      <c r="A256" t="s">
        <v>756</v>
      </c>
      <c r="B256" s="1">
        <v>45795</v>
      </c>
      <c r="C256" s="2">
        <v>0.54236111111111107</v>
      </c>
      <c r="D256" t="s">
        <v>757</v>
      </c>
      <c r="E256" t="s">
        <v>20</v>
      </c>
      <c r="F256" t="s">
        <v>758</v>
      </c>
      <c r="G256">
        <v>5</v>
      </c>
      <c r="H256">
        <v>41.59</v>
      </c>
      <c r="I256">
        <v>207.95</v>
      </c>
      <c r="J256" t="s">
        <v>668</v>
      </c>
      <c r="K256" t="s">
        <v>481</v>
      </c>
      <c r="L256">
        <v>1</v>
      </c>
      <c r="M256" t="s">
        <v>1688</v>
      </c>
      <c r="N256" t="s">
        <v>1674</v>
      </c>
      <c r="O256">
        <v>5</v>
      </c>
      <c r="P256" t="s">
        <v>1696</v>
      </c>
    </row>
    <row r="257" spans="1:16" x14ac:dyDescent="0.3">
      <c r="A257" t="s">
        <v>759</v>
      </c>
      <c r="B257" s="1">
        <v>45716</v>
      </c>
      <c r="C257" s="2">
        <v>0.5395833333333333</v>
      </c>
      <c r="D257" t="s">
        <v>760</v>
      </c>
      <c r="E257" t="s">
        <v>35</v>
      </c>
      <c r="F257" t="s">
        <v>761</v>
      </c>
      <c r="G257">
        <v>6</v>
      </c>
      <c r="H257">
        <v>44.94</v>
      </c>
      <c r="I257">
        <v>269.64</v>
      </c>
      <c r="J257" t="s">
        <v>668</v>
      </c>
      <c r="K257" t="s">
        <v>481</v>
      </c>
      <c r="L257">
        <v>1</v>
      </c>
      <c r="M257" t="s">
        <v>1674</v>
      </c>
      <c r="N257" t="s">
        <v>1674</v>
      </c>
      <c r="O257">
        <v>2</v>
      </c>
      <c r="P257" t="s">
        <v>1692</v>
      </c>
    </row>
    <row r="258" spans="1:16" x14ac:dyDescent="0.3">
      <c r="A258" t="s">
        <v>762</v>
      </c>
      <c r="B258" s="1">
        <v>45711</v>
      </c>
      <c r="C258" s="2">
        <v>0.75624999999999998</v>
      </c>
      <c r="D258" t="s">
        <v>763</v>
      </c>
      <c r="E258" t="s">
        <v>45</v>
      </c>
      <c r="F258" t="s">
        <v>764</v>
      </c>
      <c r="G258">
        <v>6</v>
      </c>
      <c r="H258">
        <v>41.94</v>
      </c>
      <c r="I258">
        <v>251.64</v>
      </c>
      <c r="J258" t="s">
        <v>668</v>
      </c>
      <c r="K258" t="s">
        <v>481</v>
      </c>
      <c r="L258">
        <v>5</v>
      </c>
      <c r="M258" t="s">
        <v>1682</v>
      </c>
      <c r="N258" t="s">
        <v>1674</v>
      </c>
      <c r="O258">
        <v>2</v>
      </c>
      <c r="P258" t="s">
        <v>1692</v>
      </c>
    </row>
    <row r="259" spans="1:16" x14ac:dyDescent="0.3">
      <c r="A259" t="s">
        <v>765</v>
      </c>
      <c r="B259" s="1">
        <v>45705</v>
      </c>
      <c r="C259" s="2">
        <v>0.81736111111111109</v>
      </c>
      <c r="D259" t="s">
        <v>766</v>
      </c>
      <c r="E259" t="s">
        <v>31</v>
      </c>
      <c r="F259" t="s">
        <v>767</v>
      </c>
      <c r="G259">
        <v>6</v>
      </c>
      <c r="H259">
        <v>22.1</v>
      </c>
      <c r="I259">
        <v>132.6</v>
      </c>
      <c r="J259" t="s">
        <v>668</v>
      </c>
      <c r="K259" t="s">
        <v>481</v>
      </c>
      <c r="L259">
        <v>1</v>
      </c>
      <c r="M259" t="s">
        <v>1683</v>
      </c>
      <c r="N259" t="s">
        <v>1674</v>
      </c>
      <c r="O259">
        <v>2</v>
      </c>
      <c r="P259" t="s">
        <v>1692</v>
      </c>
    </row>
    <row r="260" spans="1:16" x14ac:dyDescent="0.3">
      <c r="A260" t="s">
        <v>768</v>
      </c>
      <c r="B260" s="1">
        <v>45695</v>
      </c>
      <c r="C260" s="2">
        <v>0.4236111111111111</v>
      </c>
      <c r="D260" t="s">
        <v>769</v>
      </c>
      <c r="E260" t="s">
        <v>24</v>
      </c>
      <c r="F260" t="s">
        <v>741</v>
      </c>
      <c r="G260">
        <v>4</v>
      </c>
      <c r="H260">
        <v>17.420000000000002</v>
      </c>
      <c r="I260">
        <v>69.680000000000007</v>
      </c>
      <c r="J260" t="s">
        <v>668</v>
      </c>
      <c r="K260" t="s">
        <v>481</v>
      </c>
      <c r="L260">
        <v>3</v>
      </c>
      <c r="M260" t="s">
        <v>1685</v>
      </c>
      <c r="N260" t="s">
        <v>1674</v>
      </c>
      <c r="O260">
        <v>2</v>
      </c>
      <c r="P260" t="s">
        <v>1692</v>
      </c>
    </row>
    <row r="261" spans="1:16" x14ac:dyDescent="0.3">
      <c r="A261" t="s">
        <v>770</v>
      </c>
      <c r="B261" s="1">
        <v>45805</v>
      </c>
      <c r="C261" s="2">
        <v>0.88541666666666663</v>
      </c>
      <c r="D261" t="s">
        <v>771</v>
      </c>
      <c r="E261" t="s">
        <v>35</v>
      </c>
      <c r="F261" t="s">
        <v>218</v>
      </c>
      <c r="G261">
        <v>3</v>
      </c>
      <c r="H261">
        <v>21.92</v>
      </c>
      <c r="I261">
        <v>65.760000000000005</v>
      </c>
      <c r="J261" t="s">
        <v>668</v>
      </c>
      <c r="K261" t="s">
        <v>481</v>
      </c>
      <c r="L261">
        <v>5</v>
      </c>
      <c r="M261" t="s">
        <v>1686</v>
      </c>
      <c r="N261" t="s">
        <v>1674</v>
      </c>
      <c r="O261">
        <v>5</v>
      </c>
      <c r="P261" t="s">
        <v>1696</v>
      </c>
    </row>
    <row r="262" spans="1:16" x14ac:dyDescent="0.3">
      <c r="A262" t="s">
        <v>772</v>
      </c>
      <c r="B262" s="1">
        <v>45802</v>
      </c>
      <c r="C262" s="2">
        <v>0.82152777777777775</v>
      </c>
      <c r="D262" t="s">
        <v>773</v>
      </c>
      <c r="E262" t="s">
        <v>24</v>
      </c>
      <c r="F262" t="s">
        <v>774</v>
      </c>
      <c r="G262">
        <v>6</v>
      </c>
      <c r="H262">
        <v>22.98</v>
      </c>
      <c r="I262">
        <v>137.88</v>
      </c>
      <c r="J262" t="s">
        <v>668</v>
      </c>
      <c r="K262" t="s">
        <v>481</v>
      </c>
      <c r="L262">
        <v>1</v>
      </c>
      <c r="M262" t="s">
        <v>1683</v>
      </c>
      <c r="N262" t="s">
        <v>1674</v>
      </c>
      <c r="O262">
        <v>5</v>
      </c>
      <c r="P262" t="s">
        <v>1696</v>
      </c>
    </row>
    <row r="263" spans="1:16" x14ac:dyDescent="0.3">
      <c r="A263" t="s">
        <v>775</v>
      </c>
      <c r="B263" s="1">
        <v>45682</v>
      </c>
      <c r="C263" s="2">
        <v>0.69861111111111107</v>
      </c>
      <c r="D263" t="s">
        <v>776</v>
      </c>
      <c r="E263" t="s">
        <v>45</v>
      </c>
      <c r="F263" t="s">
        <v>777</v>
      </c>
      <c r="G263">
        <v>6</v>
      </c>
      <c r="H263">
        <v>25.36</v>
      </c>
      <c r="I263">
        <v>152.16</v>
      </c>
      <c r="J263" t="s">
        <v>668</v>
      </c>
      <c r="K263" t="s">
        <v>481</v>
      </c>
      <c r="L263">
        <v>1</v>
      </c>
      <c r="M263" t="s">
        <v>1687</v>
      </c>
      <c r="N263" t="s">
        <v>1674</v>
      </c>
      <c r="O263">
        <v>1</v>
      </c>
      <c r="P263" t="s">
        <v>1694</v>
      </c>
    </row>
    <row r="264" spans="1:16" x14ac:dyDescent="0.3">
      <c r="A264" t="s">
        <v>778</v>
      </c>
      <c r="B264" s="1">
        <v>45762</v>
      </c>
      <c r="C264" s="2">
        <v>0.81319444444444444</v>
      </c>
      <c r="D264" t="s">
        <v>779</v>
      </c>
      <c r="E264" t="s">
        <v>35</v>
      </c>
      <c r="F264" t="s">
        <v>360</v>
      </c>
      <c r="G264">
        <v>4</v>
      </c>
      <c r="H264">
        <v>36.96</v>
      </c>
      <c r="I264">
        <v>147.84</v>
      </c>
      <c r="J264" t="s">
        <v>668</v>
      </c>
      <c r="K264" t="s">
        <v>481</v>
      </c>
      <c r="L264">
        <v>1</v>
      </c>
      <c r="M264" t="s">
        <v>1683</v>
      </c>
      <c r="N264" t="s">
        <v>1674</v>
      </c>
      <c r="O264">
        <v>4</v>
      </c>
      <c r="P264" t="s">
        <v>1695</v>
      </c>
    </row>
    <row r="265" spans="1:16" x14ac:dyDescent="0.3">
      <c r="A265" t="s">
        <v>780</v>
      </c>
      <c r="B265" s="1">
        <v>45698</v>
      </c>
      <c r="C265" s="2">
        <v>0.95763888888888893</v>
      </c>
      <c r="D265" t="s">
        <v>781</v>
      </c>
      <c r="E265" t="s">
        <v>24</v>
      </c>
      <c r="F265" t="s">
        <v>782</v>
      </c>
      <c r="G265">
        <v>3</v>
      </c>
      <c r="H265">
        <v>9.1999999999999993</v>
      </c>
      <c r="I265">
        <v>27.6</v>
      </c>
      <c r="J265" t="s">
        <v>668</v>
      </c>
      <c r="K265" t="s">
        <v>481</v>
      </c>
      <c r="L265">
        <v>3</v>
      </c>
      <c r="M265" t="s">
        <v>1680</v>
      </c>
      <c r="N265" t="s">
        <v>1674</v>
      </c>
      <c r="O265">
        <v>2</v>
      </c>
      <c r="P265" t="s">
        <v>1692</v>
      </c>
    </row>
    <row r="266" spans="1:16" x14ac:dyDescent="0.3">
      <c r="A266" t="s">
        <v>783</v>
      </c>
      <c r="B266" s="1">
        <v>45767</v>
      </c>
      <c r="C266" s="2">
        <v>0.79513888888888884</v>
      </c>
      <c r="D266" t="s">
        <v>784</v>
      </c>
      <c r="E266" t="s">
        <v>14</v>
      </c>
      <c r="F266" t="s">
        <v>785</v>
      </c>
      <c r="G266">
        <v>6</v>
      </c>
      <c r="H266">
        <v>9.2799999999999994</v>
      </c>
      <c r="I266">
        <v>55.68</v>
      </c>
      <c r="J266" t="s">
        <v>668</v>
      </c>
      <c r="K266" t="s">
        <v>481</v>
      </c>
      <c r="L266">
        <v>2</v>
      </c>
      <c r="M266" t="s">
        <v>1683</v>
      </c>
      <c r="N266" t="s">
        <v>1674</v>
      </c>
      <c r="O266">
        <v>4</v>
      </c>
      <c r="P266" t="s">
        <v>1695</v>
      </c>
    </row>
    <row r="267" spans="1:16" x14ac:dyDescent="0.3">
      <c r="A267" t="s">
        <v>786</v>
      </c>
      <c r="B267" s="1">
        <v>45730</v>
      </c>
      <c r="C267" s="2">
        <v>0.90555555555555556</v>
      </c>
      <c r="D267" t="s">
        <v>787</v>
      </c>
      <c r="E267" t="s">
        <v>20</v>
      </c>
      <c r="F267" t="s">
        <v>788</v>
      </c>
      <c r="G267">
        <v>1</v>
      </c>
      <c r="H267">
        <v>43.16</v>
      </c>
      <c r="I267">
        <v>43.16</v>
      </c>
      <c r="J267" t="s">
        <v>668</v>
      </c>
      <c r="K267" t="s">
        <v>481</v>
      </c>
      <c r="L267">
        <v>5</v>
      </c>
      <c r="M267" t="s">
        <v>1686</v>
      </c>
      <c r="N267" t="s">
        <v>1674</v>
      </c>
      <c r="O267">
        <v>3</v>
      </c>
      <c r="P267" t="s">
        <v>1693</v>
      </c>
    </row>
    <row r="268" spans="1:16" x14ac:dyDescent="0.3">
      <c r="A268" t="s">
        <v>789</v>
      </c>
      <c r="B268" s="1">
        <v>45715</v>
      </c>
      <c r="C268" s="2">
        <v>0.59375</v>
      </c>
      <c r="D268" t="s">
        <v>790</v>
      </c>
      <c r="E268" t="s">
        <v>24</v>
      </c>
      <c r="F268" t="s">
        <v>791</v>
      </c>
      <c r="G268">
        <v>4</v>
      </c>
      <c r="H268">
        <v>46.21</v>
      </c>
      <c r="I268">
        <v>184.84</v>
      </c>
      <c r="J268" t="s">
        <v>668</v>
      </c>
      <c r="K268" t="s">
        <v>481</v>
      </c>
      <c r="L268">
        <v>5</v>
      </c>
      <c r="M268" t="s">
        <v>1684</v>
      </c>
      <c r="N268" t="s">
        <v>1674</v>
      </c>
      <c r="O268">
        <v>2</v>
      </c>
      <c r="P268" t="s">
        <v>1692</v>
      </c>
    </row>
    <row r="269" spans="1:16" x14ac:dyDescent="0.3">
      <c r="A269" t="s">
        <v>792</v>
      </c>
      <c r="B269" s="1">
        <v>45760</v>
      </c>
      <c r="C269" s="2">
        <v>0.45555555555555555</v>
      </c>
      <c r="D269" t="s">
        <v>793</v>
      </c>
      <c r="E269" t="s">
        <v>24</v>
      </c>
      <c r="F269" t="s">
        <v>794</v>
      </c>
      <c r="G269">
        <v>4</v>
      </c>
      <c r="H269">
        <v>43.97</v>
      </c>
      <c r="I269">
        <v>175.88</v>
      </c>
      <c r="J269" t="s">
        <v>668</v>
      </c>
      <c r="K269" t="s">
        <v>481</v>
      </c>
      <c r="L269">
        <v>5</v>
      </c>
      <c r="M269" t="s">
        <v>1685</v>
      </c>
      <c r="N269" t="s">
        <v>1674</v>
      </c>
      <c r="O269">
        <v>4</v>
      </c>
      <c r="P269" t="s">
        <v>1695</v>
      </c>
    </row>
    <row r="270" spans="1:16" x14ac:dyDescent="0.3">
      <c r="A270" t="s">
        <v>795</v>
      </c>
      <c r="B270" s="1">
        <v>45700</v>
      </c>
      <c r="C270" s="2">
        <v>0.68680555555555556</v>
      </c>
      <c r="D270" t="s">
        <v>796</v>
      </c>
      <c r="E270" t="s">
        <v>31</v>
      </c>
      <c r="F270" t="s">
        <v>797</v>
      </c>
      <c r="G270">
        <v>3</v>
      </c>
      <c r="H270">
        <v>23.29</v>
      </c>
      <c r="I270">
        <v>69.87</v>
      </c>
      <c r="J270" t="s">
        <v>668</v>
      </c>
      <c r="K270" t="s">
        <v>481</v>
      </c>
      <c r="L270">
        <v>4</v>
      </c>
      <c r="M270" t="s">
        <v>1687</v>
      </c>
      <c r="N270" t="s">
        <v>1674</v>
      </c>
      <c r="O270">
        <v>2</v>
      </c>
      <c r="P270" t="s">
        <v>1692</v>
      </c>
    </row>
    <row r="271" spans="1:16" x14ac:dyDescent="0.3">
      <c r="A271" t="s">
        <v>798</v>
      </c>
      <c r="B271" s="1">
        <v>45706</v>
      </c>
      <c r="C271" s="2">
        <v>0.95208333333333328</v>
      </c>
      <c r="D271" t="s">
        <v>799</v>
      </c>
      <c r="E271" t="s">
        <v>14</v>
      </c>
      <c r="F271" t="s">
        <v>800</v>
      </c>
      <c r="G271">
        <v>4</v>
      </c>
      <c r="H271">
        <v>29.4</v>
      </c>
      <c r="I271">
        <v>117.6</v>
      </c>
      <c r="J271" t="s">
        <v>668</v>
      </c>
      <c r="K271" t="s">
        <v>481</v>
      </c>
      <c r="L271">
        <v>1</v>
      </c>
      <c r="M271" t="s">
        <v>1680</v>
      </c>
      <c r="N271" t="s">
        <v>1674</v>
      </c>
      <c r="O271">
        <v>2</v>
      </c>
      <c r="P271" t="s">
        <v>1692</v>
      </c>
    </row>
    <row r="272" spans="1:16" x14ac:dyDescent="0.3">
      <c r="A272" t="s">
        <v>801</v>
      </c>
      <c r="B272" s="1">
        <v>45808</v>
      </c>
      <c r="C272" s="2">
        <v>0.87361111111111112</v>
      </c>
      <c r="D272" t="s">
        <v>802</v>
      </c>
      <c r="E272" t="s">
        <v>31</v>
      </c>
      <c r="F272" t="s">
        <v>803</v>
      </c>
      <c r="G272">
        <v>2</v>
      </c>
      <c r="H272">
        <v>39.85</v>
      </c>
      <c r="I272">
        <v>79.7</v>
      </c>
      <c r="J272" t="s">
        <v>668</v>
      </c>
      <c r="K272" t="s">
        <v>481</v>
      </c>
      <c r="L272">
        <v>3</v>
      </c>
      <c r="M272" t="s">
        <v>1681</v>
      </c>
      <c r="N272" t="s">
        <v>1674</v>
      </c>
      <c r="O272">
        <v>5</v>
      </c>
      <c r="P272" t="s">
        <v>1696</v>
      </c>
    </row>
    <row r="273" spans="1:16" x14ac:dyDescent="0.3">
      <c r="A273" t="s">
        <v>804</v>
      </c>
      <c r="B273" s="1">
        <v>45838</v>
      </c>
      <c r="C273" s="2">
        <v>0.80902777777777779</v>
      </c>
      <c r="D273" t="s">
        <v>805</v>
      </c>
      <c r="E273" t="s">
        <v>24</v>
      </c>
      <c r="F273" t="s">
        <v>806</v>
      </c>
      <c r="G273">
        <v>5</v>
      </c>
      <c r="H273">
        <v>9.5500000000000007</v>
      </c>
      <c r="I273">
        <v>47.75</v>
      </c>
      <c r="J273" t="s">
        <v>668</v>
      </c>
      <c r="K273" t="s">
        <v>481</v>
      </c>
      <c r="L273">
        <v>2</v>
      </c>
      <c r="M273" t="s">
        <v>1683</v>
      </c>
      <c r="N273" t="s">
        <v>1674</v>
      </c>
      <c r="O273">
        <v>6</v>
      </c>
      <c r="P273" t="s">
        <v>1697</v>
      </c>
    </row>
    <row r="274" spans="1:16" x14ac:dyDescent="0.3">
      <c r="A274" t="s">
        <v>807</v>
      </c>
      <c r="B274" s="1">
        <v>45676</v>
      </c>
      <c r="C274" s="2">
        <v>0.91249999999999998</v>
      </c>
      <c r="D274" t="s">
        <v>808</v>
      </c>
      <c r="E274" t="s">
        <v>24</v>
      </c>
      <c r="F274" t="s">
        <v>809</v>
      </c>
      <c r="G274">
        <v>1</v>
      </c>
      <c r="H274">
        <v>18.27</v>
      </c>
      <c r="I274">
        <v>18.27</v>
      </c>
      <c r="J274" t="s">
        <v>668</v>
      </c>
      <c r="K274" t="s">
        <v>481</v>
      </c>
      <c r="L274">
        <v>1</v>
      </c>
      <c r="M274" t="s">
        <v>1686</v>
      </c>
      <c r="N274" t="s">
        <v>1674</v>
      </c>
      <c r="O274">
        <v>1</v>
      </c>
      <c r="P274" t="s">
        <v>1694</v>
      </c>
    </row>
    <row r="275" spans="1:16" x14ac:dyDescent="0.3">
      <c r="A275" t="s">
        <v>810</v>
      </c>
      <c r="B275" s="1">
        <v>45798</v>
      </c>
      <c r="C275" s="2">
        <v>0.93819444444444444</v>
      </c>
      <c r="D275" t="s">
        <v>811</v>
      </c>
      <c r="E275" t="s">
        <v>45</v>
      </c>
      <c r="F275" t="s">
        <v>812</v>
      </c>
      <c r="G275">
        <v>2</v>
      </c>
      <c r="H275">
        <v>7.45</v>
      </c>
      <c r="I275">
        <v>14.9</v>
      </c>
      <c r="J275" t="s">
        <v>668</v>
      </c>
      <c r="K275" t="s">
        <v>481</v>
      </c>
      <c r="L275">
        <v>3</v>
      </c>
      <c r="M275" t="s">
        <v>1680</v>
      </c>
      <c r="N275" t="s">
        <v>1674</v>
      </c>
      <c r="O275">
        <v>5</v>
      </c>
      <c r="P275" t="s">
        <v>1696</v>
      </c>
    </row>
    <row r="276" spans="1:16" x14ac:dyDescent="0.3">
      <c r="A276" t="s">
        <v>813</v>
      </c>
      <c r="B276" s="1">
        <v>45681</v>
      </c>
      <c r="C276" s="2">
        <v>0.81527777777777777</v>
      </c>
      <c r="D276" t="s">
        <v>814</v>
      </c>
      <c r="E276" t="s">
        <v>35</v>
      </c>
      <c r="F276" t="s">
        <v>815</v>
      </c>
      <c r="G276">
        <v>4</v>
      </c>
      <c r="H276">
        <v>13.32</v>
      </c>
      <c r="I276">
        <v>53.28</v>
      </c>
      <c r="J276" t="s">
        <v>668</v>
      </c>
      <c r="K276" t="s">
        <v>481</v>
      </c>
      <c r="L276">
        <v>4</v>
      </c>
      <c r="M276" t="s">
        <v>1683</v>
      </c>
      <c r="N276" t="s">
        <v>1674</v>
      </c>
      <c r="O276">
        <v>1</v>
      </c>
      <c r="P276" t="s">
        <v>1694</v>
      </c>
    </row>
    <row r="277" spans="1:16" x14ac:dyDescent="0.3">
      <c r="A277" t="s">
        <v>816</v>
      </c>
      <c r="B277" s="1">
        <v>45837</v>
      </c>
      <c r="C277" s="2">
        <v>0.77569444444444446</v>
      </c>
      <c r="D277" t="s">
        <v>817</v>
      </c>
      <c r="E277" t="s">
        <v>45</v>
      </c>
      <c r="F277" t="s">
        <v>49</v>
      </c>
      <c r="G277">
        <v>5</v>
      </c>
      <c r="H277">
        <v>40.18</v>
      </c>
      <c r="I277">
        <v>200.9</v>
      </c>
      <c r="J277" t="s">
        <v>668</v>
      </c>
      <c r="K277" t="s">
        <v>481</v>
      </c>
      <c r="L277">
        <v>2</v>
      </c>
      <c r="M277" t="s">
        <v>1682</v>
      </c>
      <c r="N277" t="s">
        <v>1674</v>
      </c>
      <c r="O277">
        <v>6</v>
      </c>
      <c r="P277" t="s">
        <v>1697</v>
      </c>
    </row>
    <row r="278" spans="1:16" x14ac:dyDescent="0.3">
      <c r="A278" t="s">
        <v>818</v>
      </c>
      <c r="B278" s="1">
        <v>45822</v>
      </c>
      <c r="C278" s="2">
        <v>0.56041666666666667</v>
      </c>
      <c r="D278" t="s">
        <v>819</v>
      </c>
      <c r="E278" t="s">
        <v>35</v>
      </c>
      <c r="F278" t="s">
        <v>820</v>
      </c>
      <c r="G278">
        <v>4</v>
      </c>
      <c r="H278">
        <v>43.32</v>
      </c>
      <c r="I278">
        <v>173.28</v>
      </c>
      <c r="J278" t="s">
        <v>668</v>
      </c>
      <c r="K278" t="s">
        <v>481</v>
      </c>
      <c r="L278">
        <v>4</v>
      </c>
      <c r="M278" t="s">
        <v>1688</v>
      </c>
      <c r="N278" t="s">
        <v>1674</v>
      </c>
      <c r="O278">
        <v>6</v>
      </c>
      <c r="P278" t="s">
        <v>1697</v>
      </c>
    </row>
    <row r="279" spans="1:16" x14ac:dyDescent="0.3">
      <c r="A279" t="s">
        <v>821</v>
      </c>
      <c r="B279" s="1">
        <v>45701</v>
      </c>
      <c r="C279" s="2">
        <v>0.9458333333333333</v>
      </c>
      <c r="D279" t="s">
        <v>822</v>
      </c>
      <c r="E279" t="s">
        <v>45</v>
      </c>
      <c r="F279" t="s">
        <v>823</v>
      </c>
      <c r="G279">
        <v>5</v>
      </c>
      <c r="H279">
        <v>13.15</v>
      </c>
      <c r="I279">
        <v>65.75</v>
      </c>
      <c r="J279" t="s">
        <v>668</v>
      </c>
      <c r="K279" t="s">
        <v>481</v>
      </c>
      <c r="L279">
        <v>3</v>
      </c>
      <c r="M279" t="s">
        <v>1680</v>
      </c>
      <c r="N279" t="s">
        <v>1674</v>
      </c>
      <c r="O279">
        <v>2</v>
      </c>
      <c r="P279" t="s">
        <v>1692</v>
      </c>
    </row>
    <row r="280" spans="1:16" x14ac:dyDescent="0.3">
      <c r="A280" t="s">
        <v>824</v>
      </c>
      <c r="B280" s="1">
        <v>45798</v>
      </c>
      <c r="C280" s="2">
        <v>0.72430555555555554</v>
      </c>
      <c r="D280" t="s">
        <v>825</v>
      </c>
      <c r="E280" t="s">
        <v>14</v>
      </c>
      <c r="F280" t="s">
        <v>826</v>
      </c>
      <c r="G280">
        <v>6</v>
      </c>
      <c r="H280">
        <v>9.7799999999999994</v>
      </c>
      <c r="I280">
        <v>58.68</v>
      </c>
      <c r="J280" t="s">
        <v>668</v>
      </c>
      <c r="K280" t="s">
        <v>481</v>
      </c>
      <c r="L280">
        <v>4</v>
      </c>
      <c r="M280" t="s">
        <v>1676</v>
      </c>
      <c r="N280" t="s">
        <v>1674</v>
      </c>
      <c r="O280">
        <v>5</v>
      </c>
      <c r="P280" t="s">
        <v>1696</v>
      </c>
    </row>
    <row r="281" spans="1:16" x14ac:dyDescent="0.3">
      <c r="A281" t="s">
        <v>827</v>
      </c>
      <c r="B281" s="1">
        <v>45773</v>
      </c>
      <c r="C281" s="2">
        <v>0.6958333333333333</v>
      </c>
      <c r="D281" t="s">
        <v>828</v>
      </c>
      <c r="E281" t="s">
        <v>14</v>
      </c>
      <c r="F281" t="s">
        <v>829</v>
      </c>
      <c r="G281">
        <v>5</v>
      </c>
      <c r="H281">
        <v>48.03</v>
      </c>
      <c r="I281">
        <v>240.15</v>
      </c>
      <c r="J281" t="s">
        <v>668</v>
      </c>
      <c r="K281" t="s">
        <v>481</v>
      </c>
      <c r="L281">
        <v>5</v>
      </c>
      <c r="M281" t="s">
        <v>1687</v>
      </c>
      <c r="N281" t="s">
        <v>1674</v>
      </c>
      <c r="O281">
        <v>4</v>
      </c>
      <c r="P281" t="s">
        <v>1695</v>
      </c>
    </row>
    <row r="282" spans="1:16" x14ac:dyDescent="0.3">
      <c r="A282" t="s">
        <v>830</v>
      </c>
      <c r="B282" s="1">
        <v>45726</v>
      </c>
      <c r="C282" s="2">
        <v>0.90972222222222221</v>
      </c>
      <c r="D282" t="s">
        <v>831</v>
      </c>
      <c r="E282" t="s">
        <v>20</v>
      </c>
      <c r="F282" t="s">
        <v>832</v>
      </c>
      <c r="G282">
        <v>2</v>
      </c>
      <c r="H282">
        <v>49.26</v>
      </c>
      <c r="I282">
        <v>98.52</v>
      </c>
      <c r="J282" t="s">
        <v>668</v>
      </c>
      <c r="K282" t="s">
        <v>481</v>
      </c>
      <c r="L282">
        <v>1</v>
      </c>
      <c r="M282" t="s">
        <v>1686</v>
      </c>
      <c r="N282" t="s">
        <v>1674</v>
      </c>
      <c r="O282">
        <v>3</v>
      </c>
      <c r="P282" t="s">
        <v>1693</v>
      </c>
    </row>
    <row r="283" spans="1:16" x14ac:dyDescent="0.3">
      <c r="A283" t="s">
        <v>833</v>
      </c>
      <c r="B283" s="1">
        <v>45755</v>
      </c>
      <c r="C283" s="2">
        <v>0.56180555555555556</v>
      </c>
      <c r="D283" t="s">
        <v>834</v>
      </c>
      <c r="E283" t="s">
        <v>14</v>
      </c>
      <c r="F283" t="s">
        <v>835</v>
      </c>
      <c r="G283">
        <v>6</v>
      </c>
      <c r="H283">
        <v>42.53</v>
      </c>
      <c r="I283">
        <v>255.18</v>
      </c>
      <c r="J283" t="s">
        <v>668</v>
      </c>
      <c r="K283" t="s">
        <v>36</v>
      </c>
      <c r="L283">
        <v>2</v>
      </c>
      <c r="M283" t="s">
        <v>1688</v>
      </c>
      <c r="N283" t="s">
        <v>1674</v>
      </c>
      <c r="O283">
        <v>4</v>
      </c>
      <c r="P283" t="s">
        <v>1695</v>
      </c>
    </row>
    <row r="284" spans="1:16" x14ac:dyDescent="0.3">
      <c r="A284" t="s">
        <v>836</v>
      </c>
      <c r="B284" s="1">
        <v>45833</v>
      </c>
      <c r="C284" s="2">
        <v>0.62013888888888891</v>
      </c>
      <c r="D284" t="s">
        <v>837</v>
      </c>
      <c r="E284" t="s">
        <v>45</v>
      </c>
      <c r="F284" t="s">
        <v>302</v>
      </c>
      <c r="G284">
        <v>1</v>
      </c>
      <c r="H284">
        <v>15.31</v>
      </c>
      <c r="I284">
        <v>15.31</v>
      </c>
      <c r="J284" t="s">
        <v>668</v>
      </c>
      <c r="K284" t="s">
        <v>36</v>
      </c>
      <c r="L284">
        <v>3</v>
      </c>
      <c r="M284" t="s">
        <v>1684</v>
      </c>
      <c r="N284" t="s">
        <v>1674</v>
      </c>
      <c r="O284">
        <v>6</v>
      </c>
      <c r="P284" t="s">
        <v>1697</v>
      </c>
    </row>
    <row r="285" spans="1:16" x14ac:dyDescent="0.3">
      <c r="A285" t="s">
        <v>838</v>
      </c>
      <c r="B285" s="1">
        <v>45795</v>
      </c>
      <c r="C285" s="2">
        <v>0.57430555555555551</v>
      </c>
      <c r="D285" t="s">
        <v>839</v>
      </c>
      <c r="E285" t="s">
        <v>31</v>
      </c>
      <c r="F285" t="s">
        <v>230</v>
      </c>
      <c r="G285">
        <v>5</v>
      </c>
      <c r="H285">
        <v>24.28</v>
      </c>
      <c r="I285">
        <v>121.4</v>
      </c>
      <c r="J285" t="s">
        <v>668</v>
      </c>
      <c r="K285" t="s">
        <v>36</v>
      </c>
      <c r="L285">
        <v>2</v>
      </c>
      <c r="M285" t="s">
        <v>1688</v>
      </c>
      <c r="N285" t="s">
        <v>1674</v>
      </c>
      <c r="O285">
        <v>5</v>
      </c>
      <c r="P285" t="s">
        <v>1696</v>
      </c>
    </row>
    <row r="286" spans="1:16" x14ac:dyDescent="0.3">
      <c r="A286" t="s">
        <v>840</v>
      </c>
      <c r="B286" s="1">
        <v>45796</v>
      </c>
      <c r="C286" s="2">
        <v>0.49027777777777776</v>
      </c>
      <c r="D286" t="s">
        <v>841</v>
      </c>
      <c r="E286" t="s">
        <v>14</v>
      </c>
      <c r="F286" t="s">
        <v>363</v>
      </c>
      <c r="G286">
        <v>5</v>
      </c>
      <c r="H286">
        <v>30.93</v>
      </c>
      <c r="I286">
        <v>154.65</v>
      </c>
      <c r="J286" t="s">
        <v>668</v>
      </c>
      <c r="K286" t="s">
        <v>36</v>
      </c>
      <c r="L286">
        <v>2</v>
      </c>
      <c r="M286" t="s">
        <v>1675</v>
      </c>
      <c r="N286" t="s">
        <v>1674</v>
      </c>
      <c r="O286">
        <v>5</v>
      </c>
      <c r="P286" t="s">
        <v>1696</v>
      </c>
    </row>
    <row r="287" spans="1:16" x14ac:dyDescent="0.3">
      <c r="A287" t="s">
        <v>842</v>
      </c>
      <c r="B287" s="1">
        <v>45707</v>
      </c>
      <c r="C287" s="2">
        <v>0.52361111111111114</v>
      </c>
      <c r="D287" t="s">
        <v>843</v>
      </c>
      <c r="E287" t="s">
        <v>14</v>
      </c>
      <c r="F287" t="s">
        <v>106</v>
      </c>
      <c r="G287">
        <v>4</v>
      </c>
      <c r="H287">
        <v>11.31</v>
      </c>
      <c r="I287">
        <v>45.24</v>
      </c>
      <c r="J287" t="s">
        <v>668</v>
      </c>
      <c r="K287" t="s">
        <v>36</v>
      </c>
      <c r="L287">
        <v>2</v>
      </c>
      <c r="M287" t="s">
        <v>1674</v>
      </c>
      <c r="N287" t="s">
        <v>1674</v>
      </c>
      <c r="O287">
        <v>2</v>
      </c>
      <c r="P287" t="s">
        <v>1692</v>
      </c>
    </row>
    <row r="288" spans="1:16" x14ac:dyDescent="0.3">
      <c r="A288" t="s">
        <v>844</v>
      </c>
      <c r="B288" s="1">
        <v>45692</v>
      </c>
      <c r="C288" s="2">
        <v>0.54652777777777772</v>
      </c>
      <c r="D288" t="s">
        <v>845</v>
      </c>
      <c r="E288" t="s">
        <v>14</v>
      </c>
      <c r="F288" t="s">
        <v>846</v>
      </c>
      <c r="G288">
        <v>1</v>
      </c>
      <c r="H288">
        <v>38.409999999999997</v>
      </c>
      <c r="I288">
        <v>38.409999999999997</v>
      </c>
      <c r="J288" t="s">
        <v>668</v>
      </c>
      <c r="K288" t="s">
        <v>36</v>
      </c>
      <c r="L288">
        <v>5</v>
      </c>
      <c r="M288" t="s">
        <v>1688</v>
      </c>
      <c r="N288" t="s">
        <v>1674</v>
      </c>
      <c r="O288">
        <v>2</v>
      </c>
      <c r="P288" t="s">
        <v>1692</v>
      </c>
    </row>
    <row r="289" spans="1:16" x14ac:dyDescent="0.3">
      <c r="A289" t="s">
        <v>847</v>
      </c>
      <c r="B289" s="1">
        <v>45755</v>
      </c>
      <c r="C289" s="2">
        <v>0.91805555555555551</v>
      </c>
      <c r="D289" t="s">
        <v>848</v>
      </c>
      <c r="E289" t="s">
        <v>35</v>
      </c>
      <c r="F289" t="s">
        <v>849</v>
      </c>
      <c r="G289">
        <v>4</v>
      </c>
      <c r="H289">
        <v>15.01</v>
      </c>
      <c r="I289">
        <v>60.04</v>
      </c>
      <c r="J289" t="s">
        <v>668</v>
      </c>
      <c r="K289" t="s">
        <v>36</v>
      </c>
      <c r="L289">
        <v>2</v>
      </c>
      <c r="M289" t="s">
        <v>1680</v>
      </c>
      <c r="N289" t="s">
        <v>1674</v>
      </c>
      <c r="O289">
        <v>4</v>
      </c>
      <c r="P289" t="s">
        <v>1695</v>
      </c>
    </row>
    <row r="290" spans="1:16" x14ac:dyDescent="0.3">
      <c r="A290" t="s">
        <v>850</v>
      </c>
      <c r="B290" s="1">
        <v>45724</v>
      </c>
      <c r="C290" s="2">
        <v>0.48402777777777778</v>
      </c>
      <c r="D290" t="s">
        <v>851</v>
      </c>
      <c r="E290" t="s">
        <v>31</v>
      </c>
      <c r="F290" t="s">
        <v>852</v>
      </c>
      <c r="G290">
        <v>3</v>
      </c>
      <c r="H290">
        <v>6.72</v>
      </c>
      <c r="I290">
        <v>20.16</v>
      </c>
      <c r="J290" t="s">
        <v>668</v>
      </c>
      <c r="K290" t="s">
        <v>36</v>
      </c>
      <c r="L290">
        <v>3</v>
      </c>
      <c r="M290" t="s">
        <v>1675</v>
      </c>
      <c r="N290" t="s">
        <v>1674</v>
      </c>
      <c r="O290">
        <v>3</v>
      </c>
      <c r="P290" t="s">
        <v>1693</v>
      </c>
    </row>
    <row r="291" spans="1:16" x14ac:dyDescent="0.3">
      <c r="A291" t="s">
        <v>853</v>
      </c>
      <c r="B291" s="1">
        <v>45669</v>
      </c>
      <c r="C291" s="2">
        <v>0.52083333333333337</v>
      </c>
      <c r="D291" t="s">
        <v>854</v>
      </c>
      <c r="E291" t="s">
        <v>45</v>
      </c>
      <c r="F291" t="s">
        <v>127</v>
      </c>
      <c r="G291">
        <v>5</v>
      </c>
      <c r="H291">
        <v>43.24</v>
      </c>
      <c r="I291">
        <v>216.2</v>
      </c>
      <c r="J291" t="s">
        <v>668</v>
      </c>
      <c r="K291" t="s">
        <v>36</v>
      </c>
      <c r="L291">
        <v>5</v>
      </c>
      <c r="M291" t="s">
        <v>1674</v>
      </c>
      <c r="N291" t="s">
        <v>1674</v>
      </c>
      <c r="O291">
        <v>1</v>
      </c>
      <c r="P291" t="s">
        <v>1694</v>
      </c>
    </row>
    <row r="292" spans="1:16" x14ac:dyDescent="0.3">
      <c r="A292" t="s">
        <v>855</v>
      </c>
      <c r="B292" s="1">
        <v>45838</v>
      </c>
      <c r="C292" s="2">
        <v>0.50277777777777777</v>
      </c>
      <c r="D292" t="s">
        <v>856</v>
      </c>
      <c r="E292" t="s">
        <v>31</v>
      </c>
      <c r="F292" t="s">
        <v>857</v>
      </c>
      <c r="G292">
        <v>4</v>
      </c>
      <c r="H292">
        <v>23.34</v>
      </c>
      <c r="I292">
        <v>93.36</v>
      </c>
      <c r="J292" t="s">
        <v>668</v>
      </c>
      <c r="K292" t="s">
        <v>36</v>
      </c>
      <c r="L292">
        <v>1</v>
      </c>
      <c r="M292" t="s">
        <v>1674</v>
      </c>
      <c r="N292" t="s">
        <v>1674</v>
      </c>
      <c r="O292">
        <v>6</v>
      </c>
      <c r="P292" t="s">
        <v>1697</v>
      </c>
    </row>
    <row r="293" spans="1:16" x14ac:dyDescent="0.3">
      <c r="A293" t="s">
        <v>858</v>
      </c>
      <c r="B293" s="1">
        <v>45726</v>
      </c>
      <c r="C293" s="2">
        <v>0.62083333333333335</v>
      </c>
      <c r="D293" t="s">
        <v>859</v>
      </c>
      <c r="E293" t="s">
        <v>45</v>
      </c>
      <c r="F293" t="s">
        <v>58</v>
      </c>
      <c r="G293">
        <v>2</v>
      </c>
      <c r="H293">
        <v>42.38</v>
      </c>
      <c r="I293">
        <v>84.76</v>
      </c>
      <c r="J293" t="s">
        <v>668</v>
      </c>
      <c r="K293" t="s">
        <v>36</v>
      </c>
      <c r="L293">
        <v>2</v>
      </c>
      <c r="M293" t="s">
        <v>1684</v>
      </c>
      <c r="N293" t="s">
        <v>1674</v>
      </c>
      <c r="O293">
        <v>3</v>
      </c>
      <c r="P293" t="s">
        <v>1693</v>
      </c>
    </row>
    <row r="294" spans="1:16" x14ac:dyDescent="0.3">
      <c r="A294" t="s">
        <v>860</v>
      </c>
      <c r="B294" s="1">
        <v>45776</v>
      </c>
      <c r="C294" s="2">
        <v>0.77708333333333335</v>
      </c>
      <c r="D294" t="s">
        <v>861</v>
      </c>
      <c r="E294" t="s">
        <v>45</v>
      </c>
      <c r="F294" t="s">
        <v>862</v>
      </c>
      <c r="G294">
        <v>6</v>
      </c>
      <c r="H294">
        <v>22.05</v>
      </c>
      <c r="I294">
        <v>132.30000000000001</v>
      </c>
      <c r="J294" t="s">
        <v>668</v>
      </c>
      <c r="K294" t="s">
        <v>36</v>
      </c>
      <c r="L294">
        <v>2</v>
      </c>
      <c r="M294" t="s">
        <v>1682</v>
      </c>
      <c r="N294" t="s">
        <v>1674</v>
      </c>
      <c r="O294">
        <v>4</v>
      </c>
      <c r="P294" t="s">
        <v>1695</v>
      </c>
    </row>
    <row r="295" spans="1:16" x14ac:dyDescent="0.3">
      <c r="A295" t="s">
        <v>863</v>
      </c>
      <c r="B295" s="1">
        <v>45746</v>
      </c>
      <c r="C295" s="2">
        <v>0.65763888888888888</v>
      </c>
      <c r="D295" t="s">
        <v>864</v>
      </c>
      <c r="E295" t="s">
        <v>20</v>
      </c>
      <c r="F295" t="s">
        <v>865</v>
      </c>
      <c r="G295">
        <v>5</v>
      </c>
      <c r="H295">
        <v>19.89</v>
      </c>
      <c r="I295">
        <v>99.45</v>
      </c>
      <c r="J295" t="s">
        <v>668</v>
      </c>
      <c r="K295" t="s">
        <v>36</v>
      </c>
      <c r="L295">
        <v>3</v>
      </c>
      <c r="M295" t="s">
        <v>1677</v>
      </c>
      <c r="N295" t="s">
        <v>1674</v>
      </c>
      <c r="O295">
        <v>3</v>
      </c>
      <c r="P295" t="s">
        <v>1693</v>
      </c>
    </row>
    <row r="296" spans="1:16" x14ac:dyDescent="0.3">
      <c r="A296" t="s">
        <v>866</v>
      </c>
      <c r="B296" s="1">
        <v>45684</v>
      </c>
      <c r="C296" s="2">
        <v>0.91666666666666663</v>
      </c>
      <c r="D296" t="s">
        <v>867</v>
      </c>
      <c r="E296" t="s">
        <v>35</v>
      </c>
      <c r="F296" t="s">
        <v>868</v>
      </c>
      <c r="G296">
        <v>5</v>
      </c>
      <c r="H296">
        <v>17.8</v>
      </c>
      <c r="I296">
        <v>89</v>
      </c>
      <c r="J296" t="s">
        <v>668</v>
      </c>
      <c r="K296" t="s">
        <v>36</v>
      </c>
      <c r="L296">
        <v>2</v>
      </c>
      <c r="M296" t="s">
        <v>1680</v>
      </c>
      <c r="N296" t="s">
        <v>1674</v>
      </c>
      <c r="O296">
        <v>1</v>
      </c>
      <c r="P296" t="s">
        <v>1694</v>
      </c>
    </row>
    <row r="297" spans="1:16" x14ac:dyDescent="0.3">
      <c r="A297" t="s">
        <v>869</v>
      </c>
      <c r="B297" s="1">
        <v>45671</v>
      </c>
      <c r="C297" s="2">
        <v>0.57986111111111116</v>
      </c>
      <c r="D297" t="s">
        <v>870</v>
      </c>
      <c r="E297" t="s">
        <v>45</v>
      </c>
      <c r="F297" t="s">
        <v>168</v>
      </c>
      <c r="G297">
        <v>4</v>
      </c>
      <c r="H297">
        <v>10.130000000000001</v>
      </c>
      <c r="I297">
        <v>40.520000000000003</v>
      </c>
      <c r="J297" t="s">
        <v>668</v>
      </c>
      <c r="K297" t="s">
        <v>36</v>
      </c>
      <c r="L297">
        <v>1</v>
      </c>
      <c r="M297" t="s">
        <v>1688</v>
      </c>
      <c r="N297" t="s">
        <v>1674</v>
      </c>
      <c r="O297">
        <v>1</v>
      </c>
      <c r="P297" t="s">
        <v>1694</v>
      </c>
    </row>
    <row r="298" spans="1:16" x14ac:dyDescent="0.3">
      <c r="A298" t="s">
        <v>871</v>
      </c>
      <c r="B298" s="1">
        <v>45700</v>
      </c>
      <c r="C298" s="2">
        <v>0.8881944444444444</v>
      </c>
      <c r="D298" t="s">
        <v>872</v>
      </c>
      <c r="E298" t="s">
        <v>31</v>
      </c>
      <c r="F298" t="s">
        <v>873</v>
      </c>
      <c r="G298">
        <v>5</v>
      </c>
      <c r="H298">
        <v>38.700000000000003</v>
      </c>
      <c r="I298">
        <v>193.5</v>
      </c>
      <c r="J298" t="s">
        <v>668</v>
      </c>
      <c r="K298" t="s">
        <v>36</v>
      </c>
      <c r="L298">
        <v>1</v>
      </c>
      <c r="M298" t="s">
        <v>1686</v>
      </c>
      <c r="N298" t="s">
        <v>1674</v>
      </c>
      <c r="O298">
        <v>2</v>
      </c>
      <c r="P298" t="s">
        <v>1692</v>
      </c>
    </row>
    <row r="299" spans="1:16" x14ac:dyDescent="0.3">
      <c r="A299" t="s">
        <v>874</v>
      </c>
      <c r="B299" s="1">
        <v>45805</v>
      </c>
      <c r="C299" s="2">
        <v>0.40833333333333333</v>
      </c>
      <c r="D299" t="s">
        <v>875</v>
      </c>
      <c r="E299" t="s">
        <v>20</v>
      </c>
      <c r="F299" t="s">
        <v>242</v>
      </c>
      <c r="G299">
        <v>2</v>
      </c>
      <c r="H299">
        <v>26.17</v>
      </c>
      <c r="I299">
        <v>52.34</v>
      </c>
      <c r="J299" t="s">
        <v>668</v>
      </c>
      <c r="K299" t="s">
        <v>36</v>
      </c>
      <c r="L299">
        <v>2</v>
      </c>
      <c r="M299" t="s">
        <v>1679</v>
      </c>
      <c r="N299" t="s">
        <v>1674</v>
      </c>
      <c r="O299">
        <v>5</v>
      </c>
      <c r="P299" t="s">
        <v>1696</v>
      </c>
    </row>
    <row r="300" spans="1:16" x14ac:dyDescent="0.3">
      <c r="A300" t="s">
        <v>876</v>
      </c>
      <c r="B300" s="1">
        <v>45807</v>
      </c>
      <c r="C300" s="2">
        <v>0.65277777777777779</v>
      </c>
      <c r="D300" t="s">
        <v>877</v>
      </c>
      <c r="E300" t="s">
        <v>35</v>
      </c>
      <c r="F300" t="s">
        <v>878</v>
      </c>
      <c r="G300">
        <v>4</v>
      </c>
      <c r="H300">
        <v>48.61</v>
      </c>
      <c r="I300">
        <v>194.44</v>
      </c>
      <c r="J300" t="s">
        <v>668</v>
      </c>
      <c r="K300" t="s">
        <v>36</v>
      </c>
      <c r="L300">
        <v>3</v>
      </c>
      <c r="M300" t="s">
        <v>1677</v>
      </c>
      <c r="N300" t="s">
        <v>1674</v>
      </c>
      <c r="O300">
        <v>5</v>
      </c>
      <c r="P300" t="s">
        <v>1696</v>
      </c>
    </row>
    <row r="301" spans="1:16" x14ac:dyDescent="0.3">
      <c r="A301" t="s">
        <v>879</v>
      </c>
      <c r="B301" s="1">
        <v>45740</v>
      </c>
      <c r="C301" s="2">
        <v>0.79583333333333328</v>
      </c>
      <c r="D301" t="s">
        <v>880</v>
      </c>
      <c r="E301" t="s">
        <v>20</v>
      </c>
      <c r="F301" t="s">
        <v>293</v>
      </c>
      <c r="G301">
        <v>2</v>
      </c>
      <c r="H301">
        <v>19.84</v>
      </c>
      <c r="I301">
        <v>39.68</v>
      </c>
      <c r="J301" t="s">
        <v>668</v>
      </c>
      <c r="K301" t="s">
        <v>36</v>
      </c>
      <c r="L301">
        <v>4</v>
      </c>
      <c r="M301" t="s">
        <v>1683</v>
      </c>
      <c r="N301" t="s">
        <v>1674</v>
      </c>
      <c r="O301">
        <v>3</v>
      </c>
      <c r="P301" t="s">
        <v>1693</v>
      </c>
    </row>
    <row r="302" spans="1:16" x14ac:dyDescent="0.3">
      <c r="A302" t="s">
        <v>881</v>
      </c>
      <c r="B302" s="1">
        <v>45733</v>
      </c>
      <c r="C302" s="2">
        <v>0.84583333333333333</v>
      </c>
      <c r="D302" t="s">
        <v>882</v>
      </c>
      <c r="E302" t="s">
        <v>20</v>
      </c>
      <c r="F302" t="s">
        <v>883</v>
      </c>
      <c r="G302">
        <v>1</v>
      </c>
      <c r="H302">
        <v>49.01</v>
      </c>
      <c r="I302">
        <v>49.01</v>
      </c>
      <c r="J302" t="s">
        <v>668</v>
      </c>
      <c r="K302" t="s">
        <v>36</v>
      </c>
      <c r="L302">
        <v>1</v>
      </c>
      <c r="M302" t="s">
        <v>1681</v>
      </c>
      <c r="N302" t="s">
        <v>1674</v>
      </c>
      <c r="O302">
        <v>3</v>
      </c>
      <c r="P302" t="s">
        <v>1693</v>
      </c>
    </row>
    <row r="303" spans="1:16" x14ac:dyDescent="0.3">
      <c r="A303" t="s">
        <v>884</v>
      </c>
      <c r="B303" s="1">
        <v>45798</v>
      </c>
      <c r="C303" s="2">
        <v>0.84722222222222221</v>
      </c>
      <c r="D303" t="s">
        <v>885</v>
      </c>
      <c r="E303" t="s">
        <v>31</v>
      </c>
      <c r="F303" t="s">
        <v>886</v>
      </c>
      <c r="G303">
        <v>4</v>
      </c>
      <c r="H303">
        <v>49.76</v>
      </c>
      <c r="I303">
        <v>199.04</v>
      </c>
      <c r="J303" t="s">
        <v>668</v>
      </c>
      <c r="K303" t="s">
        <v>36</v>
      </c>
      <c r="L303">
        <v>5</v>
      </c>
      <c r="M303" t="s">
        <v>1681</v>
      </c>
      <c r="N303" t="s">
        <v>1674</v>
      </c>
      <c r="O303">
        <v>5</v>
      </c>
      <c r="P303" t="s">
        <v>1696</v>
      </c>
    </row>
    <row r="304" spans="1:16" x14ac:dyDescent="0.3">
      <c r="A304" t="s">
        <v>887</v>
      </c>
      <c r="B304" s="1">
        <v>45768</v>
      </c>
      <c r="C304" s="2">
        <v>0.7055555555555556</v>
      </c>
      <c r="D304" t="s">
        <v>888</v>
      </c>
      <c r="E304" t="s">
        <v>35</v>
      </c>
      <c r="F304" t="s">
        <v>889</v>
      </c>
      <c r="G304">
        <v>2</v>
      </c>
      <c r="H304">
        <v>23.62</v>
      </c>
      <c r="I304">
        <v>47.24</v>
      </c>
      <c r="J304" t="s">
        <v>668</v>
      </c>
      <c r="K304" t="s">
        <v>36</v>
      </c>
      <c r="L304">
        <v>1</v>
      </c>
      <c r="M304" t="s">
        <v>1687</v>
      </c>
      <c r="N304" t="s">
        <v>1674</v>
      </c>
      <c r="O304">
        <v>4</v>
      </c>
      <c r="P304" t="s">
        <v>1695</v>
      </c>
    </row>
    <row r="305" spans="1:16" x14ac:dyDescent="0.3">
      <c r="A305" t="s">
        <v>890</v>
      </c>
      <c r="B305" s="1">
        <v>45727</v>
      </c>
      <c r="C305" s="2">
        <v>0.6958333333333333</v>
      </c>
      <c r="D305" t="s">
        <v>891</v>
      </c>
      <c r="E305" t="s">
        <v>35</v>
      </c>
      <c r="F305" t="s">
        <v>892</v>
      </c>
      <c r="G305">
        <v>4</v>
      </c>
      <c r="H305">
        <v>26.85</v>
      </c>
      <c r="I305">
        <v>107.4</v>
      </c>
      <c r="J305" t="s">
        <v>668</v>
      </c>
      <c r="K305" t="s">
        <v>36</v>
      </c>
      <c r="L305">
        <v>2</v>
      </c>
      <c r="M305" t="s">
        <v>1687</v>
      </c>
      <c r="N305" t="s">
        <v>1674</v>
      </c>
      <c r="O305">
        <v>3</v>
      </c>
      <c r="P305" t="s">
        <v>1693</v>
      </c>
    </row>
    <row r="306" spans="1:16" x14ac:dyDescent="0.3">
      <c r="A306" t="s">
        <v>893</v>
      </c>
      <c r="B306" s="1">
        <v>45787</v>
      </c>
      <c r="C306" s="2">
        <v>0.42986111111111114</v>
      </c>
      <c r="D306" t="s">
        <v>894</v>
      </c>
      <c r="E306" t="s">
        <v>45</v>
      </c>
      <c r="F306" t="s">
        <v>895</v>
      </c>
      <c r="G306">
        <v>4</v>
      </c>
      <c r="H306">
        <v>25.34</v>
      </c>
      <c r="I306">
        <v>101.36</v>
      </c>
      <c r="J306" t="s">
        <v>668</v>
      </c>
      <c r="K306" t="s">
        <v>36</v>
      </c>
      <c r="L306">
        <v>1</v>
      </c>
      <c r="M306" t="s">
        <v>1685</v>
      </c>
      <c r="N306" t="s">
        <v>1674</v>
      </c>
      <c r="O306">
        <v>5</v>
      </c>
      <c r="P306" t="s">
        <v>1696</v>
      </c>
    </row>
    <row r="307" spans="1:16" x14ac:dyDescent="0.3">
      <c r="A307" t="s">
        <v>896</v>
      </c>
      <c r="B307" s="1">
        <v>45823</v>
      </c>
      <c r="C307" s="2">
        <v>0.95416666666666672</v>
      </c>
      <c r="D307" t="s">
        <v>897</v>
      </c>
      <c r="E307" t="s">
        <v>31</v>
      </c>
      <c r="F307" t="s">
        <v>898</v>
      </c>
      <c r="G307">
        <v>1</v>
      </c>
      <c r="H307">
        <v>32.68</v>
      </c>
      <c r="I307">
        <v>32.68</v>
      </c>
      <c r="J307" t="s">
        <v>668</v>
      </c>
      <c r="K307" t="s">
        <v>36</v>
      </c>
      <c r="L307">
        <v>5</v>
      </c>
      <c r="M307" t="s">
        <v>1680</v>
      </c>
      <c r="N307" t="s">
        <v>1674</v>
      </c>
      <c r="O307">
        <v>6</v>
      </c>
      <c r="P307" t="s">
        <v>1697</v>
      </c>
    </row>
    <row r="308" spans="1:16" x14ac:dyDescent="0.3">
      <c r="A308" t="s">
        <v>899</v>
      </c>
      <c r="B308" s="1">
        <v>45814</v>
      </c>
      <c r="C308" s="2">
        <v>0.47430555555555554</v>
      </c>
      <c r="D308" t="s">
        <v>900</v>
      </c>
      <c r="E308" t="s">
        <v>35</v>
      </c>
      <c r="F308" t="s">
        <v>901</v>
      </c>
      <c r="G308">
        <v>3</v>
      </c>
      <c r="H308">
        <v>46.31</v>
      </c>
      <c r="I308">
        <v>138.93</v>
      </c>
      <c r="J308" t="s">
        <v>668</v>
      </c>
      <c r="K308" t="s">
        <v>36</v>
      </c>
      <c r="L308">
        <v>5</v>
      </c>
      <c r="M308" t="s">
        <v>1675</v>
      </c>
      <c r="N308" t="s">
        <v>1674</v>
      </c>
      <c r="O308">
        <v>6</v>
      </c>
      <c r="P308" t="s">
        <v>1697</v>
      </c>
    </row>
    <row r="309" spans="1:16" x14ac:dyDescent="0.3">
      <c r="A309" t="s">
        <v>902</v>
      </c>
      <c r="B309" s="1">
        <v>45788</v>
      </c>
      <c r="C309" s="2">
        <v>0.58402777777777781</v>
      </c>
      <c r="D309" t="s">
        <v>903</v>
      </c>
      <c r="E309" t="s">
        <v>14</v>
      </c>
      <c r="F309" t="s">
        <v>904</v>
      </c>
      <c r="G309">
        <v>3</v>
      </c>
      <c r="H309">
        <v>18.899999999999999</v>
      </c>
      <c r="I309">
        <v>56.7</v>
      </c>
      <c r="J309" t="s">
        <v>668</v>
      </c>
      <c r="K309" t="s">
        <v>36</v>
      </c>
      <c r="L309">
        <v>2</v>
      </c>
      <c r="M309" t="s">
        <v>1684</v>
      </c>
      <c r="N309" t="s">
        <v>1674</v>
      </c>
      <c r="O309">
        <v>5</v>
      </c>
      <c r="P309" t="s">
        <v>1696</v>
      </c>
    </row>
    <row r="310" spans="1:16" x14ac:dyDescent="0.3">
      <c r="A310" t="s">
        <v>905</v>
      </c>
      <c r="B310" s="1">
        <v>45835</v>
      </c>
      <c r="C310" s="2">
        <v>0.90208333333333335</v>
      </c>
      <c r="D310" t="s">
        <v>906</v>
      </c>
      <c r="E310" t="s">
        <v>45</v>
      </c>
      <c r="F310" t="s">
        <v>907</v>
      </c>
      <c r="G310">
        <v>2</v>
      </c>
      <c r="H310">
        <v>37.450000000000003</v>
      </c>
      <c r="I310">
        <v>74.900000000000006</v>
      </c>
      <c r="J310" t="s">
        <v>668</v>
      </c>
      <c r="K310" t="s">
        <v>36</v>
      </c>
      <c r="L310">
        <v>2</v>
      </c>
      <c r="M310" t="s">
        <v>1686</v>
      </c>
      <c r="N310" t="s">
        <v>1674</v>
      </c>
      <c r="O310">
        <v>6</v>
      </c>
      <c r="P310" t="s">
        <v>1697</v>
      </c>
    </row>
    <row r="311" spans="1:16" x14ac:dyDescent="0.3">
      <c r="A311" t="s">
        <v>908</v>
      </c>
      <c r="B311" s="1">
        <v>45778</v>
      </c>
      <c r="C311" s="2">
        <v>0.99513888888888891</v>
      </c>
      <c r="D311" t="s">
        <v>909</v>
      </c>
      <c r="E311" t="s">
        <v>31</v>
      </c>
      <c r="F311" t="s">
        <v>910</v>
      </c>
      <c r="G311">
        <v>2</v>
      </c>
      <c r="H311">
        <v>21.55</v>
      </c>
      <c r="I311">
        <v>43.1</v>
      </c>
      <c r="J311" t="s">
        <v>668</v>
      </c>
      <c r="K311" t="s">
        <v>36</v>
      </c>
      <c r="L311">
        <v>3</v>
      </c>
      <c r="M311" t="s">
        <v>1678</v>
      </c>
      <c r="N311" t="s">
        <v>1674</v>
      </c>
      <c r="O311">
        <v>5</v>
      </c>
      <c r="P311" t="s">
        <v>1696</v>
      </c>
    </row>
    <row r="312" spans="1:16" x14ac:dyDescent="0.3">
      <c r="A312" t="s">
        <v>911</v>
      </c>
      <c r="B312" s="1">
        <v>45797</v>
      </c>
      <c r="C312" s="2">
        <v>0.67777777777777781</v>
      </c>
      <c r="D312" t="s">
        <v>912</v>
      </c>
      <c r="E312" t="s">
        <v>14</v>
      </c>
      <c r="F312" t="s">
        <v>913</v>
      </c>
      <c r="G312">
        <v>1</v>
      </c>
      <c r="H312">
        <v>38.9</v>
      </c>
      <c r="I312">
        <v>38.9</v>
      </c>
      <c r="J312" t="s">
        <v>668</v>
      </c>
      <c r="K312" t="s">
        <v>36</v>
      </c>
      <c r="L312">
        <v>1</v>
      </c>
      <c r="M312" t="s">
        <v>1687</v>
      </c>
      <c r="N312" t="s">
        <v>1674</v>
      </c>
      <c r="O312">
        <v>5</v>
      </c>
      <c r="P312" t="s">
        <v>1696</v>
      </c>
    </row>
    <row r="313" spans="1:16" x14ac:dyDescent="0.3">
      <c r="A313" t="s">
        <v>914</v>
      </c>
      <c r="B313" s="1">
        <v>45728</v>
      </c>
      <c r="C313" s="2">
        <v>0.82638888888888884</v>
      </c>
      <c r="D313" t="s">
        <v>915</v>
      </c>
      <c r="E313" t="s">
        <v>20</v>
      </c>
      <c r="F313" t="s">
        <v>702</v>
      </c>
      <c r="G313">
        <v>1</v>
      </c>
      <c r="H313">
        <v>8.3800000000000008</v>
      </c>
      <c r="I313">
        <v>8.3800000000000008</v>
      </c>
      <c r="J313" t="s">
        <v>668</v>
      </c>
      <c r="K313" t="s">
        <v>36</v>
      </c>
      <c r="L313">
        <v>5</v>
      </c>
      <c r="M313" t="s">
        <v>1683</v>
      </c>
      <c r="N313" t="s">
        <v>1674</v>
      </c>
      <c r="O313">
        <v>3</v>
      </c>
      <c r="P313" t="s">
        <v>1693</v>
      </c>
    </row>
    <row r="314" spans="1:16" x14ac:dyDescent="0.3">
      <c r="A314" t="s">
        <v>916</v>
      </c>
      <c r="B314" s="1">
        <v>45674</v>
      </c>
      <c r="C314" s="2">
        <v>0.55902777777777779</v>
      </c>
      <c r="D314" t="s">
        <v>917</v>
      </c>
      <c r="E314" t="s">
        <v>31</v>
      </c>
      <c r="F314" t="s">
        <v>918</v>
      </c>
      <c r="G314">
        <v>6</v>
      </c>
      <c r="H314">
        <v>37.35</v>
      </c>
      <c r="I314">
        <v>224.1</v>
      </c>
      <c r="J314" t="s">
        <v>668</v>
      </c>
      <c r="K314" t="s">
        <v>36</v>
      </c>
      <c r="L314">
        <v>5</v>
      </c>
      <c r="M314" t="s">
        <v>1688</v>
      </c>
      <c r="N314" t="s">
        <v>1674</v>
      </c>
      <c r="O314">
        <v>1</v>
      </c>
      <c r="P314" t="s">
        <v>1694</v>
      </c>
    </row>
    <row r="315" spans="1:16" x14ac:dyDescent="0.3">
      <c r="A315" t="s">
        <v>919</v>
      </c>
      <c r="B315" s="1">
        <v>45706</v>
      </c>
      <c r="C315" s="2">
        <v>0.88194444444444442</v>
      </c>
      <c r="D315" t="s">
        <v>920</v>
      </c>
      <c r="E315" t="s">
        <v>35</v>
      </c>
      <c r="F315" t="s">
        <v>921</v>
      </c>
      <c r="G315">
        <v>4</v>
      </c>
      <c r="H315">
        <v>49.82</v>
      </c>
      <c r="I315">
        <v>199.28</v>
      </c>
      <c r="J315" t="s">
        <v>668</v>
      </c>
      <c r="K315" t="s">
        <v>36</v>
      </c>
      <c r="L315">
        <v>4</v>
      </c>
      <c r="M315" t="s">
        <v>1686</v>
      </c>
      <c r="N315" t="s">
        <v>1674</v>
      </c>
      <c r="O315">
        <v>2</v>
      </c>
      <c r="P315" t="s">
        <v>1692</v>
      </c>
    </row>
    <row r="316" spans="1:16" x14ac:dyDescent="0.3">
      <c r="A316" t="s">
        <v>922</v>
      </c>
      <c r="B316" s="1">
        <v>45666</v>
      </c>
      <c r="C316" s="2">
        <v>0.78055555555555556</v>
      </c>
      <c r="D316" t="s">
        <v>923</v>
      </c>
      <c r="E316" t="s">
        <v>35</v>
      </c>
      <c r="F316" t="s">
        <v>432</v>
      </c>
      <c r="G316">
        <v>1</v>
      </c>
      <c r="H316">
        <v>13.59</v>
      </c>
      <c r="I316">
        <v>13.59</v>
      </c>
      <c r="J316" t="s">
        <v>668</v>
      </c>
      <c r="K316" t="s">
        <v>36</v>
      </c>
      <c r="L316">
        <v>2</v>
      </c>
      <c r="M316" t="s">
        <v>1682</v>
      </c>
      <c r="N316" t="s">
        <v>1674</v>
      </c>
      <c r="O316">
        <v>1</v>
      </c>
      <c r="P316" t="s">
        <v>1694</v>
      </c>
    </row>
    <row r="317" spans="1:16" x14ac:dyDescent="0.3">
      <c r="A317" t="s">
        <v>924</v>
      </c>
      <c r="B317" s="1">
        <v>45740</v>
      </c>
      <c r="C317" s="2">
        <v>0.88749999999999996</v>
      </c>
      <c r="D317" t="s">
        <v>925</v>
      </c>
      <c r="E317" t="s">
        <v>20</v>
      </c>
      <c r="F317" t="s">
        <v>926</v>
      </c>
      <c r="G317">
        <v>4</v>
      </c>
      <c r="H317">
        <v>25.98</v>
      </c>
      <c r="I317">
        <v>103.92</v>
      </c>
      <c r="J317" t="s">
        <v>668</v>
      </c>
      <c r="K317" t="s">
        <v>36</v>
      </c>
      <c r="L317">
        <v>3</v>
      </c>
      <c r="M317" t="s">
        <v>1686</v>
      </c>
      <c r="N317" t="s">
        <v>1674</v>
      </c>
      <c r="O317">
        <v>3</v>
      </c>
      <c r="P317" t="s">
        <v>1693</v>
      </c>
    </row>
    <row r="318" spans="1:16" x14ac:dyDescent="0.3">
      <c r="A318" t="s">
        <v>927</v>
      </c>
      <c r="B318" s="1">
        <v>45750</v>
      </c>
      <c r="C318" s="2">
        <v>0.74722222222222223</v>
      </c>
      <c r="D318" t="s">
        <v>928</v>
      </c>
      <c r="E318" t="s">
        <v>20</v>
      </c>
      <c r="F318" t="s">
        <v>929</v>
      </c>
      <c r="G318">
        <v>4</v>
      </c>
      <c r="H318">
        <v>25.97</v>
      </c>
      <c r="I318">
        <v>103.88</v>
      </c>
      <c r="J318" t="s">
        <v>668</v>
      </c>
      <c r="K318" t="s">
        <v>36</v>
      </c>
      <c r="L318">
        <v>2</v>
      </c>
      <c r="M318" t="s">
        <v>1676</v>
      </c>
      <c r="N318" t="s">
        <v>1674</v>
      </c>
      <c r="O318">
        <v>4</v>
      </c>
      <c r="P318" t="s">
        <v>1695</v>
      </c>
    </row>
    <row r="319" spans="1:16" x14ac:dyDescent="0.3">
      <c r="A319" t="s">
        <v>930</v>
      </c>
      <c r="B319" s="1">
        <v>45682</v>
      </c>
      <c r="C319" s="2">
        <v>0.71458333333333335</v>
      </c>
      <c r="D319" t="s">
        <v>931</v>
      </c>
      <c r="E319" t="s">
        <v>31</v>
      </c>
      <c r="F319" t="s">
        <v>282</v>
      </c>
      <c r="G319">
        <v>2</v>
      </c>
      <c r="H319">
        <v>13.64</v>
      </c>
      <c r="I319">
        <v>27.28</v>
      </c>
      <c r="J319" t="s">
        <v>668</v>
      </c>
      <c r="K319" t="s">
        <v>36</v>
      </c>
      <c r="L319">
        <v>3</v>
      </c>
      <c r="M319" t="s">
        <v>1676</v>
      </c>
      <c r="N319" t="s">
        <v>1674</v>
      </c>
      <c r="O319">
        <v>1</v>
      </c>
      <c r="P319" t="s">
        <v>1694</v>
      </c>
    </row>
    <row r="320" spans="1:16" x14ac:dyDescent="0.3">
      <c r="A320" t="s">
        <v>932</v>
      </c>
      <c r="B320" s="1">
        <v>45719</v>
      </c>
      <c r="C320" s="2">
        <v>0.78680555555555554</v>
      </c>
      <c r="D320" t="s">
        <v>933</v>
      </c>
      <c r="E320" t="s">
        <v>31</v>
      </c>
      <c r="F320" t="s">
        <v>934</v>
      </c>
      <c r="G320">
        <v>4</v>
      </c>
      <c r="H320">
        <v>35.47</v>
      </c>
      <c r="I320">
        <v>141.88</v>
      </c>
      <c r="J320" t="s">
        <v>668</v>
      </c>
      <c r="K320" t="s">
        <v>36</v>
      </c>
      <c r="L320">
        <v>2</v>
      </c>
      <c r="M320" t="s">
        <v>1682</v>
      </c>
      <c r="N320" t="s">
        <v>1674</v>
      </c>
      <c r="O320">
        <v>3</v>
      </c>
      <c r="P320" t="s">
        <v>1693</v>
      </c>
    </row>
    <row r="321" spans="1:16" x14ac:dyDescent="0.3">
      <c r="A321" t="s">
        <v>935</v>
      </c>
      <c r="B321" s="1">
        <v>45739</v>
      </c>
      <c r="C321" s="2">
        <v>0.58750000000000002</v>
      </c>
      <c r="D321" t="s">
        <v>936</v>
      </c>
      <c r="E321" t="s">
        <v>24</v>
      </c>
      <c r="F321" t="s">
        <v>937</v>
      </c>
      <c r="G321">
        <v>1</v>
      </c>
      <c r="H321">
        <v>5.23</v>
      </c>
      <c r="I321">
        <v>5.23</v>
      </c>
      <c r="J321" t="s">
        <v>668</v>
      </c>
      <c r="K321" t="s">
        <v>36</v>
      </c>
      <c r="L321">
        <v>3</v>
      </c>
      <c r="M321" t="s">
        <v>1684</v>
      </c>
      <c r="N321" t="s">
        <v>1674</v>
      </c>
      <c r="O321">
        <v>3</v>
      </c>
      <c r="P321" t="s">
        <v>1693</v>
      </c>
    </row>
    <row r="322" spans="1:16" x14ac:dyDescent="0.3">
      <c r="A322" t="s">
        <v>938</v>
      </c>
      <c r="B322" s="1">
        <v>45791</v>
      </c>
      <c r="C322" s="2">
        <v>0.48819444444444443</v>
      </c>
      <c r="D322" t="s">
        <v>939</v>
      </c>
      <c r="E322" t="s">
        <v>24</v>
      </c>
      <c r="F322" t="s">
        <v>940</v>
      </c>
      <c r="G322">
        <v>4</v>
      </c>
      <c r="H322">
        <v>12.63</v>
      </c>
      <c r="I322">
        <v>50.52</v>
      </c>
      <c r="J322" t="s">
        <v>668</v>
      </c>
      <c r="K322" t="s">
        <v>36</v>
      </c>
      <c r="L322">
        <v>4</v>
      </c>
      <c r="M322" t="s">
        <v>1675</v>
      </c>
      <c r="N322" t="s">
        <v>1674</v>
      </c>
      <c r="O322">
        <v>5</v>
      </c>
      <c r="P322" t="s">
        <v>1696</v>
      </c>
    </row>
    <row r="323" spans="1:16" x14ac:dyDescent="0.3">
      <c r="A323" t="s">
        <v>941</v>
      </c>
      <c r="B323" s="1">
        <v>45692</v>
      </c>
      <c r="C323" s="2">
        <v>0.54166666666666663</v>
      </c>
      <c r="D323" t="s">
        <v>942</v>
      </c>
      <c r="E323" t="s">
        <v>31</v>
      </c>
      <c r="F323" t="s">
        <v>198</v>
      </c>
      <c r="G323">
        <v>4</v>
      </c>
      <c r="H323">
        <v>19.95</v>
      </c>
      <c r="I323">
        <v>79.8</v>
      </c>
      <c r="J323" t="s">
        <v>668</v>
      </c>
      <c r="K323" t="s">
        <v>36</v>
      </c>
      <c r="L323">
        <v>4</v>
      </c>
      <c r="M323" t="s">
        <v>1688</v>
      </c>
      <c r="N323" t="s">
        <v>1674</v>
      </c>
      <c r="O323">
        <v>2</v>
      </c>
      <c r="P323" t="s">
        <v>1692</v>
      </c>
    </row>
    <row r="324" spans="1:16" x14ac:dyDescent="0.3">
      <c r="A324" t="s">
        <v>943</v>
      </c>
      <c r="B324" s="1">
        <v>45743</v>
      </c>
      <c r="C324" s="2">
        <v>0.66111111111111109</v>
      </c>
      <c r="D324" t="s">
        <v>944</v>
      </c>
      <c r="E324" t="s">
        <v>14</v>
      </c>
      <c r="F324" t="s">
        <v>165</v>
      </c>
      <c r="G324">
        <v>6</v>
      </c>
      <c r="H324">
        <v>48.84</v>
      </c>
      <c r="I324">
        <v>293.04000000000002</v>
      </c>
      <c r="J324" t="s">
        <v>668</v>
      </c>
      <c r="K324" t="s">
        <v>36</v>
      </c>
      <c r="L324">
        <v>5</v>
      </c>
      <c r="M324" t="s">
        <v>1677</v>
      </c>
      <c r="N324" t="s">
        <v>1674</v>
      </c>
      <c r="O324">
        <v>3</v>
      </c>
      <c r="P324" t="s">
        <v>1693</v>
      </c>
    </row>
    <row r="325" spans="1:16" x14ac:dyDescent="0.3">
      <c r="A325" t="s">
        <v>945</v>
      </c>
      <c r="B325" s="1">
        <v>45835</v>
      </c>
      <c r="C325" s="2">
        <v>0.52083333333333337</v>
      </c>
      <c r="D325" t="s">
        <v>946</v>
      </c>
      <c r="E325" t="s">
        <v>35</v>
      </c>
      <c r="F325" t="s">
        <v>127</v>
      </c>
      <c r="G325">
        <v>3</v>
      </c>
      <c r="H325">
        <v>12.99</v>
      </c>
      <c r="I325">
        <v>38.97</v>
      </c>
      <c r="J325" t="s">
        <v>668</v>
      </c>
      <c r="K325" t="s">
        <v>36</v>
      </c>
      <c r="L325">
        <v>4</v>
      </c>
      <c r="M325" t="s">
        <v>1674</v>
      </c>
      <c r="N325" t="s">
        <v>1674</v>
      </c>
      <c r="O325">
        <v>6</v>
      </c>
      <c r="P325" t="s">
        <v>1697</v>
      </c>
    </row>
    <row r="326" spans="1:16" x14ac:dyDescent="0.3">
      <c r="A326" t="s">
        <v>947</v>
      </c>
      <c r="B326" s="1">
        <v>45747</v>
      </c>
      <c r="C326" s="2">
        <v>0.55625000000000002</v>
      </c>
      <c r="D326" t="s">
        <v>948</v>
      </c>
      <c r="E326" t="s">
        <v>31</v>
      </c>
      <c r="F326" t="s">
        <v>949</v>
      </c>
      <c r="G326">
        <v>4</v>
      </c>
      <c r="H326">
        <v>40.29</v>
      </c>
      <c r="I326">
        <v>161.16</v>
      </c>
      <c r="J326" t="s">
        <v>668</v>
      </c>
      <c r="K326" t="s">
        <v>36</v>
      </c>
      <c r="L326">
        <v>4</v>
      </c>
      <c r="M326" t="s">
        <v>1688</v>
      </c>
      <c r="N326" t="s">
        <v>1674</v>
      </c>
      <c r="O326">
        <v>3</v>
      </c>
      <c r="P326" t="s">
        <v>1693</v>
      </c>
    </row>
    <row r="327" spans="1:16" x14ac:dyDescent="0.3">
      <c r="A327" t="s">
        <v>950</v>
      </c>
      <c r="B327" s="1">
        <v>45721</v>
      </c>
      <c r="C327" s="2">
        <v>0.48958333333333331</v>
      </c>
      <c r="D327" t="s">
        <v>951</v>
      </c>
      <c r="E327" t="s">
        <v>20</v>
      </c>
      <c r="F327" t="s">
        <v>952</v>
      </c>
      <c r="G327">
        <v>3</v>
      </c>
      <c r="H327">
        <v>42.28</v>
      </c>
      <c r="I327">
        <v>126.84</v>
      </c>
      <c r="J327" t="s">
        <v>668</v>
      </c>
      <c r="K327" t="s">
        <v>36</v>
      </c>
      <c r="L327">
        <v>2</v>
      </c>
      <c r="M327" t="s">
        <v>1675</v>
      </c>
      <c r="N327" t="s">
        <v>1674</v>
      </c>
      <c r="O327">
        <v>3</v>
      </c>
      <c r="P327" t="s">
        <v>1693</v>
      </c>
    </row>
    <row r="328" spans="1:16" x14ac:dyDescent="0.3">
      <c r="A328" t="s">
        <v>953</v>
      </c>
      <c r="B328" s="1">
        <v>45761</v>
      </c>
      <c r="C328" s="2">
        <v>0.74097222222222225</v>
      </c>
      <c r="D328" t="s">
        <v>954</v>
      </c>
      <c r="E328" t="s">
        <v>24</v>
      </c>
      <c r="F328" t="s">
        <v>647</v>
      </c>
      <c r="G328">
        <v>3</v>
      </c>
      <c r="H328">
        <v>36.26</v>
      </c>
      <c r="I328">
        <v>108.78</v>
      </c>
      <c r="J328" t="s">
        <v>668</v>
      </c>
      <c r="K328" t="s">
        <v>36</v>
      </c>
      <c r="L328">
        <v>3</v>
      </c>
      <c r="M328" t="s">
        <v>1676</v>
      </c>
      <c r="N328" t="s">
        <v>1674</v>
      </c>
      <c r="O328">
        <v>4</v>
      </c>
      <c r="P328" t="s">
        <v>1695</v>
      </c>
    </row>
    <row r="329" spans="1:16" x14ac:dyDescent="0.3">
      <c r="A329" t="s">
        <v>955</v>
      </c>
      <c r="B329" s="1">
        <v>45675</v>
      </c>
      <c r="C329" s="2">
        <v>0.73333333333333328</v>
      </c>
      <c r="D329" t="s">
        <v>956</v>
      </c>
      <c r="E329" t="s">
        <v>14</v>
      </c>
      <c r="F329" t="s">
        <v>957</v>
      </c>
      <c r="G329">
        <v>1</v>
      </c>
      <c r="H329">
        <v>32.46</v>
      </c>
      <c r="I329">
        <v>32.46</v>
      </c>
      <c r="J329" t="s">
        <v>668</v>
      </c>
      <c r="K329" t="s">
        <v>36</v>
      </c>
      <c r="L329">
        <v>2</v>
      </c>
      <c r="M329" t="s">
        <v>1676</v>
      </c>
      <c r="N329" t="s">
        <v>1674</v>
      </c>
      <c r="O329">
        <v>1</v>
      </c>
      <c r="P329" t="s">
        <v>1694</v>
      </c>
    </row>
    <row r="330" spans="1:16" x14ac:dyDescent="0.3">
      <c r="A330" t="s">
        <v>958</v>
      </c>
      <c r="B330" s="1">
        <v>45693</v>
      </c>
      <c r="C330" s="2">
        <v>0.87986111111111109</v>
      </c>
      <c r="D330" t="s">
        <v>959</v>
      </c>
      <c r="E330" t="s">
        <v>24</v>
      </c>
      <c r="F330" t="s">
        <v>960</v>
      </c>
      <c r="G330">
        <v>5</v>
      </c>
      <c r="H330">
        <v>37.85</v>
      </c>
      <c r="I330">
        <v>189.25</v>
      </c>
      <c r="J330" t="s">
        <v>668</v>
      </c>
      <c r="K330" t="s">
        <v>36</v>
      </c>
      <c r="L330">
        <v>2</v>
      </c>
      <c r="M330" t="s">
        <v>1686</v>
      </c>
      <c r="N330" t="s">
        <v>1674</v>
      </c>
      <c r="O330">
        <v>2</v>
      </c>
      <c r="P330" t="s">
        <v>1692</v>
      </c>
    </row>
    <row r="331" spans="1:16" x14ac:dyDescent="0.3">
      <c r="A331" t="s">
        <v>961</v>
      </c>
      <c r="B331" s="1">
        <v>45688</v>
      </c>
      <c r="C331" s="2">
        <v>0.40625</v>
      </c>
      <c r="D331" t="s">
        <v>962</v>
      </c>
      <c r="E331" t="s">
        <v>14</v>
      </c>
      <c r="F331" t="s">
        <v>963</v>
      </c>
      <c r="G331">
        <v>2</v>
      </c>
      <c r="H331">
        <v>36.57</v>
      </c>
      <c r="I331">
        <v>73.14</v>
      </c>
      <c r="J331" t="s">
        <v>668</v>
      </c>
      <c r="K331" t="s">
        <v>36</v>
      </c>
      <c r="L331">
        <v>5</v>
      </c>
      <c r="M331" t="s">
        <v>1679</v>
      </c>
      <c r="N331" t="s">
        <v>1674</v>
      </c>
      <c r="O331">
        <v>1</v>
      </c>
      <c r="P331" t="s">
        <v>1694</v>
      </c>
    </row>
    <row r="332" spans="1:16" x14ac:dyDescent="0.3">
      <c r="A332" t="s">
        <v>964</v>
      </c>
      <c r="B332" s="1">
        <v>45738</v>
      </c>
      <c r="C332" s="2">
        <v>0.99375000000000002</v>
      </c>
      <c r="D332" t="s">
        <v>965</v>
      </c>
      <c r="E332" t="s">
        <v>20</v>
      </c>
      <c r="F332" t="s">
        <v>73</v>
      </c>
      <c r="G332">
        <v>4</v>
      </c>
      <c r="H332">
        <v>36.53</v>
      </c>
      <c r="I332">
        <v>146.12</v>
      </c>
      <c r="J332" t="s">
        <v>668</v>
      </c>
      <c r="K332" t="s">
        <v>36</v>
      </c>
      <c r="L332">
        <v>4</v>
      </c>
      <c r="M332" t="s">
        <v>1678</v>
      </c>
      <c r="N332" t="s">
        <v>1674</v>
      </c>
      <c r="O332">
        <v>3</v>
      </c>
      <c r="P332" t="s">
        <v>1693</v>
      </c>
    </row>
    <row r="333" spans="1:16" x14ac:dyDescent="0.3">
      <c r="A333" t="s">
        <v>966</v>
      </c>
      <c r="B333" s="1">
        <v>45662</v>
      </c>
      <c r="C333" s="2">
        <v>0.65972222222222221</v>
      </c>
      <c r="D333" t="s">
        <v>967</v>
      </c>
      <c r="E333" t="s">
        <v>31</v>
      </c>
      <c r="F333" t="s">
        <v>728</v>
      </c>
      <c r="G333">
        <v>6</v>
      </c>
      <c r="H333">
        <v>21.16</v>
      </c>
      <c r="I333">
        <v>126.96</v>
      </c>
      <c r="J333" t="s">
        <v>668</v>
      </c>
      <c r="K333" t="s">
        <v>36</v>
      </c>
      <c r="L333">
        <v>5</v>
      </c>
      <c r="M333" t="s">
        <v>1677</v>
      </c>
      <c r="N333" t="s">
        <v>1674</v>
      </c>
      <c r="O333">
        <v>1</v>
      </c>
      <c r="P333" t="s">
        <v>1694</v>
      </c>
    </row>
    <row r="334" spans="1:16" x14ac:dyDescent="0.3">
      <c r="A334" t="s">
        <v>968</v>
      </c>
      <c r="B334" s="1">
        <v>45747</v>
      </c>
      <c r="C334" s="2">
        <v>0.57638888888888884</v>
      </c>
      <c r="D334" t="s">
        <v>969</v>
      </c>
      <c r="E334" t="s">
        <v>45</v>
      </c>
      <c r="F334" t="s">
        <v>889</v>
      </c>
      <c r="G334">
        <v>1</v>
      </c>
      <c r="H334">
        <v>37.42</v>
      </c>
      <c r="I334">
        <v>37.42</v>
      </c>
      <c r="J334" t="s">
        <v>668</v>
      </c>
      <c r="K334" t="s">
        <v>36</v>
      </c>
      <c r="L334">
        <v>4</v>
      </c>
      <c r="M334" t="s">
        <v>1688</v>
      </c>
      <c r="N334" t="s">
        <v>1674</v>
      </c>
      <c r="O334">
        <v>3</v>
      </c>
      <c r="P334" t="s">
        <v>1693</v>
      </c>
    </row>
    <row r="335" spans="1:16" x14ac:dyDescent="0.3">
      <c r="A335" t="s">
        <v>970</v>
      </c>
      <c r="B335" s="1">
        <v>45678</v>
      </c>
      <c r="C335" s="2">
        <v>0.70416666666666672</v>
      </c>
      <c r="D335" t="s">
        <v>971</v>
      </c>
      <c r="E335" t="s">
        <v>35</v>
      </c>
      <c r="F335" t="s">
        <v>972</v>
      </c>
      <c r="G335">
        <v>1</v>
      </c>
      <c r="H335">
        <v>18.88</v>
      </c>
      <c r="I335">
        <v>18.88</v>
      </c>
      <c r="J335" t="s">
        <v>668</v>
      </c>
      <c r="K335" t="s">
        <v>36</v>
      </c>
      <c r="L335">
        <v>3</v>
      </c>
      <c r="M335" t="s">
        <v>1687</v>
      </c>
      <c r="N335" t="s">
        <v>1674</v>
      </c>
      <c r="O335">
        <v>1</v>
      </c>
      <c r="P335" t="s">
        <v>1694</v>
      </c>
    </row>
    <row r="336" spans="1:16" x14ac:dyDescent="0.3">
      <c r="A336" t="s">
        <v>973</v>
      </c>
      <c r="B336" s="1">
        <v>45832</v>
      </c>
      <c r="C336" s="2">
        <v>0.49027777777777776</v>
      </c>
      <c r="D336" t="s">
        <v>974</v>
      </c>
      <c r="E336" t="s">
        <v>24</v>
      </c>
      <c r="F336" t="s">
        <v>975</v>
      </c>
      <c r="G336">
        <v>1</v>
      </c>
      <c r="H336">
        <v>34.49</v>
      </c>
      <c r="I336">
        <v>34.49</v>
      </c>
      <c r="J336" t="s">
        <v>668</v>
      </c>
      <c r="K336" t="s">
        <v>36</v>
      </c>
      <c r="L336">
        <v>4</v>
      </c>
      <c r="M336" t="s">
        <v>1675</v>
      </c>
      <c r="N336" t="s">
        <v>1674</v>
      </c>
      <c r="O336">
        <v>6</v>
      </c>
      <c r="P336" t="s">
        <v>1697</v>
      </c>
    </row>
    <row r="337" spans="1:16" x14ac:dyDescent="0.3">
      <c r="A337" t="s">
        <v>976</v>
      </c>
      <c r="B337" s="1">
        <v>45748</v>
      </c>
      <c r="C337" s="2">
        <v>0.53263888888888888</v>
      </c>
      <c r="D337" t="s">
        <v>977</v>
      </c>
      <c r="E337" t="s">
        <v>24</v>
      </c>
      <c r="F337" t="s">
        <v>978</v>
      </c>
      <c r="G337">
        <v>3</v>
      </c>
      <c r="H337">
        <v>23.92</v>
      </c>
      <c r="I337">
        <v>71.760000000000005</v>
      </c>
      <c r="J337" t="s">
        <v>668</v>
      </c>
      <c r="K337" t="s">
        <v>36</v>
      </c>
      <c r="L337">
        <v>5</v>
      </c>
      <c r="M337" t="s">
        <v>1674</v>
      </c>
      <c r="N337" t="s">
        <v>1674</v>
      </c>
      <c r="O337">
        <v>4</v>
      </c>
      <c r="P337" t="s">
        <v>1695</v>
      </c>
    </row>
    <row r="338" spans="1:16" x14ac:dyDescent="0.3">
      <c r="A338" t="s">
        <v>979</v>
      </c>
      <c r="B338" s="1">
        <v>45763</v>
      </c>
      <c r="C338" s="2">
        <v>0.41319444444444442</v>
      </c>
      <c r="D338" t="s">
        <v>980</v>
      </c>
      <c r="E338" t="s">
        <v>14</v>
      </c>
      <c r="F338" t="s">
        <v>981</v>
      </c>
      <c r="G338">
        <v>2</v>
      </c>
      <c r="H338">
        <v>11.18</v>
      </c>
      <c r="I338">
        <v>22.36</v>
      </c>
      <c r="J338" t="s">
        <v>668</v>
      </c>
      <c r="K338" t="s">
        <v>36</v>
      </c>
      <c r="L338">
        <v>5</v>
      </c>
      <c r="M338" t="s">
        <v>1679</v>
      </c>
      <c r="N338" t="s">
        <v>1674</v>
      </c>
      <c r="O338">
        <v>4</v>
      </c>
      <c r="P338" t="s">
        <v>1695</v>
      </c>
    </row>
    <row r="339" spans="1:16" x14ac:dyDescent="0.3">
      <c r="A339" t="s">
        <v>982</v>
      </c>
      <c r="B339" s="1">
        <v>45775</v>
      </c>
      <c r="C339" s="2">
        <v>0.47222222222222221</v>
      </c>
      <c r="D339" t="s">
        <v>983</v>
      </c>
      <c r="E339" t="s">
        <v>45</v>
      </c>
      <c r="F339" t="s">
        <v>313</v>
      </c>
      <c r="G339">
        <v>6</v>
      </c>
      <c r="H339">
        <v>13.12</v>
      </c>
      <c r="I339">
        <v>78.72</v>
      </c>
      <c r="J339" t="s">
        <v>668</v>
      </c>
      <c r="K339" t="s">
        <v>36</v>
      </c>
      <c r="L339">
        <v>2</v>
      </c>
      <c r="M339" t="s">
        <v>1675</v>
      </c>
      <c r="N339" t="s">
        <v>1674</v>
      </c>
      <c r="O339">
        <v>4</v>
      </c>
      <c r="P339" t="s">
        <v>1695</v>
      </c>
    </row>
    <row r="340" spans="1:16" x14ac:dyDescent="0.3">
      <c r="A340" t="s">
        <v>984</v>
      </c>
      <c r="B340" s="1">
        <v>45810</v>
      </c>
      <c r="C340" s="2">
        <v>0.72291666666666665</v>
      </c>
      <c r="D340" t="s">
        <v>985</v>
      </c>
      <c r="E340" t="s">
        <v>14</v>
      </c>
      <c r="F340" t="s">
        <v>986</v>
      </c>
      <c r="G340">
        <v>4</v>
      </c>
      <c r="H340">
        <v>44.96</v>
      </c>
      <c r="I340">
        <v>179.84</v>
      </c>
      <c r="J340" t="s">
        <v>668</v>
      </c>
      <c r="K340" t="s">
        <v>36</v>
      </c>
      <c r="L340">
        <v>3</v>
      </c>
      <c r="M340" t="s">
        <v>1676</v>
      </c>
      <c r="N340" t="s">
        <v>1674</v>
      </c>
      <c r="O340">
        <v>6</v>
      </c>
      <c r="P340" t="s">
        <v>1697</v>
      </c>
    </row>
    <row r="341" spans="1:16" x14ac:dyDescent="0.3">
      <c r="A341" t="s">
        <v>987</v>
      </c>
      <c r="B341" s="1">
        <v>45825</v>
      </c>
      <c r="C341" s="2">
        <v>0.91736111111111107</v>
      </c>
      <c r="D341" t="s">
        <v>988</v>
      </c>
      <c r="E341" t="s">
        <v>35</v>
      </c>
      <c r="F341" t="s">
        <v>989</v>
      </c>
      <c r="G341">
        <v>1</v>
      </c>
      <c r="H341">
        <v>36.04</v>
      </c>
      <c r="I341">
        <v>36.04</v>
      </c>
      <c r="J341" t="s">
        <v>668</v>
      </c>
      <c r="K341" t="s">
        <v>36</v>
      </c>
      <c r="L341">
        <v>1</v>
      </c>
      <c r="M341" t="s">
        <v>1680</v>
      </c>
      <c r="N341" t="s">
        <v>1674</v>
      </c>
      <c r="O341">
        <v>6</v>
      </c>
      <c r="P341" t="s">
        <v>1697</v>
      </c>
    </row>
    <row r="342" spans="1:16" x14ac:dyDescent="0.3">
      <c r="A342" t="s">
        <v>990</v>
      </c>
      <c r="B342" s="1">
        <v>45745</v>
      </c>
      <c r="C342" s="2">
        <v>0.46319444444444446</v>
      </c>
      <c r="D342" t="s">
        <v>991</v>
      </c>
      <c r="E342" t="s">
        <v>35</v>
      </c>
      <c r="F342" t="s">
        <v>992</v>
      </c>
      <c r="G342">
        <v>4</v>
      </c>
      <c r="H342">
        <v>23.01</v>
      </c>
      <c r="I342">
        <v>92.04</v>
      </c>
      <c r="J342" t="s">
        <v>668</v>
      </c>
      <c r="K342" t="s">
        <v>36</v>
      </c>
      <c r="L342">
        <v>4</v>
      </c>
      <c r="M342" t="s">
        <v>1675</v>
      </c>
      <c r="N342" t="s">
        <v>1674</v>
      </c>
      <c r="O342">
        <v>3</v>
      </c>
      <c r="P342" t="s">
        <v>1693</v>
      </c>
    </row>
    <row r="343" spans="1:16" x14ac:dyDescent="0.3">
      <c r="A343" t="s">
        <v>993</v>
      </c>
      <c r="B343" s="1">
        <v>45787</v>
      </c>
      <c r="C343" s="2">
        <v>0.9375</v>
      </c>
      <c r="D343" t="s">
        <v>994</v>
      </c>
      <c r="E343" t="s">
        <v>45</v>
      </c>
      <c r="F343" t="s">
        <v>588</v>
      </c>
      <c r="G343">
        <v>4</v>
      </c>
      <c r="H343">
        <v>44.12</v>
      </c>
      <c r="I343">
        <v>176.48</v>
      </c>
      <c r="J343" t="s">
        <v>668</v>
      </c>
      <c r="K343" t="s">
        <v>36</v>
      </c>
      <c r="L343">
        <v>2</v>
      </c>
      <c r="M343" t="s">
        <v>1680</v>
      </c>
      <c r="N343" t="s">
        <v>1674</v>
      </c>
      <c r="O343">
        <v>5</v>
      </c>
      <c r="P343" t="s">
        <v>1696</v>
      </c>
    </row>
    <row r="344" spans="1:16" x14ac:dyDescent="0.3">
      <c r="A344" t="s">
        <v>995</v>
      </c>
      <c r="B344" s="1">
        <v>45742</v>
      </c>
      <c r="C344" s="2">
        <v>0.54374999999999996</v>
      </c>
      <c r="D344" t="s">
        <v>996</v>
      </c>
      <c r="E344" t="s">
        <v>20</v>
      </c>
      <c r="F344" t="s">
        <v>997</v>
      </c>
      <c r="G344">
        <v>5</v>
      </c>
      <c r="H344">
        <v>15.02</v>
      </c>
      <c r="I344">
        <v>75.099999999999994</v>
      </c>
      <c r="J344" t="s">
        <v>668</v>
      </c>
      <c r="K344" t="s">
        <v>36</v>
      </c>
      <c r="L344">
        <v>2</v>
      </c>
      <c r="M344" t="s">
        <v>1688</v>
      </c>
      <c r="N344" t="s">
        <v>1674</v>
      </c>
      <c r="O344">
        <v>3</v>
      </c>
      <c r="P344" t="s">
        <v>1693</v>
      </c>
    </row>
    <row r="345" spans="1:16" x14ac:dyDescent="0.3">
      <c r="A345" t="s">
        <v>998</v>
      </c>
      <c r="B345" s="1">
        <v>45678</v>
      </c>
      <c r="C345" s="2">
        <v>0.68611111111111112</v>
      </c>
      <c r="D345" t="s">
        <v>999</v>
      </c>
      <c r="E345" t="s">
        <v>35</v>
      </c>
      <c r="F345" t="s">
        <v>444</v>
      </c>
      <c r="G345">
        <v>5</v>
      </c>
      <c r="H345">
        <v>25.16</v>
      </c>
      <c r="I345">
        <v>125.8</v>
      </c>
      <c r="J345" t="s">
        <v>668</v>
      </c>
      <c r="K345" t="s">
        <v>36</v>
      </c>
      <c r="L345">
        <v>1</v>
      </c>
      <c r="M345" t="s">
        <v>1687</v>
      </c>
      <c r="N345" t="s">
        <v>1674</v>
      </c>
      <c r="O345">
        <v>1</v>
      </c>
      <c r="P345" t="s">
        <v>1694</v>
      </c>
    </row>
    <row r="346" spans="1:16" x14ac:dyDescent="0.3">
      <c r="A346" t="s">
        <v>1000</v>
      </c>
      <c r="B346" s="1">
        <v>45834</v>
      </c>
      <c r="C346" s="2">
        <v>0.88749999999999996</v>
      </c>
      <c r="D346" t="s">
        <v>1001</v>
      </c>
      <c r="E346" t="s">
        <v>45</v>
      </c>
      <c r="F346" t="s">
        <v>1002</v>
      </c>
      <c r="G346">
        <v>2</v>
      </c>
      <c r="H346">
        <v>38.909999999999997</v>
      </c>
      <c r="I346">
        <v>77.819999999999993</v>
      </c>
      <c r="J346" t="s">
        <v>668</v>
      </c>
      <c r="K346" t="s">
        <v>36</v>
      </c>
      <c r="L346">
        <v>1</v>
      </c>
      <c r="M346" t="s">
        <v>1686</v>
      </c>
      <c r="N346" t="s">
        <v>1674</v>
      </c>
      <c r="O346">
        <v>6</v>
      </c>
      <c r="P346" t="s">
        <v>1697</v>
      </c>
    </row>
    <row r="347" spans="1:16" x14ac:dyDescent="0.3">
      <c r="A347" t="s">
        <v>1003</v>
      </c>
      <c r="B347" s="1">
        <v>45761</v>
      </c>
      <c r="C347" s="2">
        <v>0.43194444444444446</v>
      </c>
      <c r="D347" t="s">
        <v>1004</v>
      </c>
      <c r="E347" t="s">
        <v>20</v>
      </c>
      <c r="F347" t="s">
        <v>424</v>
      </c>
      <c r="G347">
        <v>2</v>
      </c>
      <c r="H347">
        <v>44.75</v>
      </c>
      <c r="I347">
        <v>89.5</v>
      </c>
      <c r="J347" t="s">
        <v>668</v>
      </c>
      <c r="K347" t="s">
        <v>36</v>
      </c>
      <c r="L347">
        <v>3</v>
      </c>
      <c r="M347" t="s">
        <v>1685</v>
      </c>
      <c r="N347" t="s">
        <v>1674</v>
      </c>
      <c r="O347">
        <v>4</v>
      </c>
      <c r="P347" t="s">
        <v>1695</v>
      </c>
    </row>
    <row r="348" spans="1:16" x14ac:dyDescent="0.3">
      <c r="A348" t="s">
        <v>1005</v>
      </c>
      <c r="B348" s="1">
        <v>45832</v>
      </c>
      <c r="C348" s="2">
        <v>0.97222222222222221</v>
      </c>
      <c r="D348" t="s">
        <v>1006</v>
      </c>
      <c r="E348" t="s">
        <v>45</v>
      </c>
      <c r="F348" t="s">
        <v>1007</v>
      </c>
      <c r="G348">
        <v>4</v>
      </c>
      <c r="H348">
        <v>46.22</v>
      </c>
      <c r="I348">
        <v>184.88</v>
      </c>
      <c r="J348" t="s">
        <v>668</v>
      </c>
      <c r="K348" t="s">
        <v>36</v>
      </c>
      <c r="L348">
        <v>5</v>
      </c>
      <c r="M348" t="s">
        <v>1678</v>
      </c>
      <c r="N348" t="s">
        <v>1674</v>
      </c>
      <c r="O348">
        <v>6</v>
      </c>
      <c r="P348" t="s">
        <v>1697</v>
      </c>
    </row>
    <row r="349" spans="1:16" x14ac:dyDescent="0.3">
      <c r="A349" t="s">
        <v>1008</v>
      </c>
      <c r="B349" s="1">
        <v>45832</v>
      </c>
      <c r="C349" s="2">
        <v>0.65138888888888891</v>
      </c>
      <c r="D349" t="s">
        <v>1009</v>
      </c>
      <c r="E349" t="s">
        <v>31</v>
      </c>
      <c r="F349" t="s">
        <v>1010</v>
      </c>
      <c r="G349">
        <v>1</v>
      </c>
      <c r="H349">
        <v>22.31</v>
      </c>
      <c r="I349">
        <v>22.31</v>
      </c>
      <c r="J349" t="s">
        <v>668</v>
      </c>
      <c r="K349" t="s">
        <v>17</v>
      </c>
      <c r="L349">
        <v>3</v>
      </c>
      <c r="M349" t="s">
        <v>1677</v>
      </c>
      <c r="N349" t="s">
        <v>1674</v>
      </c>
      <c r="O349">
        <v>6</v>
      </c>
      <c r="P349" t="s">
        <v>1697</v>
      </c>
    </row>
    <row r="350" spans="1:16" x14ac:dyDescent="0.3">
      <c r="A350" t="s">
        <v>1011</v>
      </c>
      <c r="B350" s="1">
        <v>45682</v>
      </c>
      <c r="C350" s="2">
        <v>0.44583333333333336</v>
      </c>
      <c r="D350" t="s">
        <v>1012</v>
      </c>
      <c r="E350" t="s">
        <v>35</v>
      </c>
      <c r="F350" t="s">
        <v>1013</v>
      </c>
      <c r="G350">
        <v>4</v>
      </c>
      <c r="H350">
        <v>20.94</v>
      </c>
      <c r="I350">
        <v>83.76</v>
      </c>
      <c r="J350" t="s">
        <v>668</v>
      </c>
      <c r="K350" t="s">
        <v>17</v>
      </c>
      <c r="L350">
        <v>1</v>
      </c>
      <c r="M350" t="s">
        <v>1685</v>
      </c>
      <c r="N350" t="s">
        <v>1674</v>
      </c>
      <c r="O350">
        <v>1</v>
      </c>
      <c r="P350" t="s">
        <v>1694</v>
      </c>
    </row>
    <row r="351" spans="1:16" x14ac:dyDescent="0.3">
      <c r="A351" t="s">
        <v>1014</v>
      </c>
      <c r="B351" s="1">
        <v>45803</v>
      </c>
      <c r="C351" s="2">
        <v>0.52569444444444446</v>
      </c>
      <c r="D351" t="s">
        <v>1015</v>
      </c>
      <c r="E351" t="s">
        <v>45</v>
      </c>
      <c r="F351" t="s">
        <v>699</v>
      </c>
      <c r="G351">
        <v>5</v>
      </c>
      <c r="H351">
        <v>6.79</v>
      </c>
      <c r="I351">
        <v>33.950000000000003</v>
      </c>
      <c r="J351" t="s">
        <v>668</v>
      </c>
      <c r="K351" t="s">
        <v>17</v>
      </c>
      <c r="L351">
        <v>5</v>
      </c>
      <c r="M351" t="s">
        <v>1674</v>
      </c>
      <c r="N351" t="s">
        <v>1674</v>
      </c>
      <c r="O351">
        <v>5</v>
      </c>
      <c r="P351" t="s">
        <v>1696</v>
      </c>
    </row>
    <row r="352" spans="1:16" x14ac:dyDescent="0.3">
      <c r="A352" t="s">
        <v>1016</v>
      </c>
      <c r="B352" s="1">
        <v>45814</v>
      </c>
      <c r="C352" s="2">
        <v>0.90347222222222223</v>
      </c>
      <c r="D352" t="s">
        <v>1017</v>
      </c>
      <c r="E352" t="s">
        <v>31</v>
      </c>
      <c r="F352" t="s">
        <v>978</v>
      </c>
      <c r="G352">
        <v>5</v>
      </c>
      <c r="H352">
        <v>5.35</v>
      </c>
      <c r="I352">
        <v>26.75</v>
      </c>
      <c r="J352" t="s">
        <v>668</v>
      </c>
      <c r="K352" t="s">
        <v>17</v>
      </c>
      <c r="L352">
        <v>1</v>
      </c>
      <c r="M352" t="s">
        <v>1686</v>
      </c>
      <c r="N352" t="s">
        <v>1674</v>
      </c>
      <c r="O352">
        <v>6</v>
      </c>
      <c r="P352" t="s">
        <v>1697</v>
      </c>
    </row>
    <row r="353" spans="1:16" x14ac:dyDescent="0.3">
      <c r="A353" t="s">
        <v>1018</v>
      </c>
      <c r="B353" s="1">
        <v>45821</v>
      </c>
      <c r="C353" s="2">
        <v>0.54861111111111116</v>
      </c>
      <c r="D353" t="s">
        <v>1019</v>
      </c>
      <c r="E353" t="s">
        <v>20</v>
      </c>
      <c r="F353" t="s">
        <v>302</v>
      </c>
      <c r="G353">
        <v>6</v>
      </c>
      <c r="H353">
        <v>24.88</v>
      </c>
      <c r="I353">
        <v>149.28</v>
      </c>
      <c r="J353" t="s">
        <v>668</v>
      </c>
      <c r="K353" t="s">
        <v>17</v>
      </c>
      <c r="L353">
        <v>1</v>
      </c>
      <c r="M353" t="s">
        <v>1688</v>
      </c>
      <c r="N353" t="s">
        <v>1674</v>
      </c>
      <c r="O353">
        <v>6</v>
      </c>
      <c r="P353" t="s">
        <v>1697</v>
      </c>
    </row>
    <row r="354" spans="1:16" x14ac:dyDescent="0.3">
      <c r="A354" t="s">
        <v>1020</v>
      </c>
      <c r="B354" s="1">
        <v>45832</v>
      </c>
      <c r="C354" s="2">
        <v>0.52916666666666667</v>
      </c>
      <c r="D354" t="s">
        <v>1021</v>
      </c>
      <c r="E354" t="s">
        <v>31</v>
      </c>
      <c r="F354" t="s">
        <v>1022</v>
      </c>
      <c r="G354">
        <v>1</v>
      </c>
      <c r="H354">
        <v>20.92</v>
      </c>
      <c r="I354">
        <v>20.92</v>
      </c>
      <c r="J354" t="s">
        <v>668</v>
      </c>
      <c r="K354" t="s">
        <v>17</v>
      </c>
      <c r="L354">
        <v>2</v>
      </c>
      <c r="M354" t="s">
        <v>1674</v>
      </c>
      <c r="N354" t="s">
        <v>1674</v>
      </c>
      <c r="O354">
        <v>6</v>
      </c>
      <c r="P354" t="s">
        <v>1697</v>
      </c>
    </row>
    <row r="355" spans="1:16" x14ac:dyDescent="0.3">
      <c r="A355" t="s">
        <v>1023</v>
      </c>
      <c r="B355" s="1">
        <v>45751</v>
      </c>
      <c r="C355" s="2">
        <v>0.62777777777777777</v>
      </c>
      <c r="D355" t="s">
        <v>1024</v>
      </c>
      <c r="E355" t="s">
        <v>31</v>
      </c>
      <c r="F355" t="s">
        <v>1025</v>
      </c>
      <c r="G355">
        <v>6</v>
      </c>
      <c r="H355">
        <v>46.43</v>
      </c>
      <c r="I355">
        <v>278.58</v>
      </c>
      <c r="J355" t="s">
        <v>668</v>
      </c>
      <c r="K355" t="s">
        <v>17</v>
      </c>
      <c r="L355">
        <v>1</v>
      </c>
      <c r="M355" t="s">
        <v>1677</v>
      </c>
      <c r="N355" t="s">
        <v>1674</v>
      </c>
      <c r="O355">
        <v>4</v>
      </c>
      <c r="P355" t="s">
        <v>1695</v>
      </c>
    </row>
    <row r="356" spans="1:16" x14ac:dyDescent="0.3">
      <c r="A356" t="s">
        <v>1026</v>
      </c>
      <c r="B356" s="1">
        <v>45779</v>
      </c>
      <c r="C356" s="2">
        <v>0.9145833333333333</v>
      </c>
      <c r="D356" t="s">
        <v>1027</v>
      </c>
      <c r="E356" t="s">
        <v>45</v>
      </c>
      <c r="F356" t="s">
        <v>441</v>
      </c>
      <c r="G356">
        <v>6</v>
      </c>
      <c r="H356">
        <v>12.64</v>
      </c>
      <c r="I356">
        <v>75.84</v>
      </c>
      <c r="J356" t="s">
        <v>668</v>
      </c>
      <c r="K356" t="s">
        <v>17</v>
      </c>
      <c r="L356">
        <v>5</v>
      </c>
      <c r="M356" t="s">
        <v>1686</v>
      </c>
      <c r="N356" t="s">
        <v>1674</v>
      </c>
      <c r="O356">
        <v>5</v>
      </c>
      <c r="P356" t="s">
        <v>1696</v>
      </c>
    </row>
    <row r="357" spans="1:16" x14ac:dyDescent="0.3">
      <c r="A357" t="s">
        <v>1028</v>
      </c>
      <c r="B357" s="1">
        <v>45755</v>
      </c>
      <c r="C357" s="2">
        <v>0.66666666666666663</v>
      </c>
      <c r="D357" t="s">
        <v>1029</v>
      </c>
      <c r="E357" t="s">
        <v>35</v>
      </c>
      <c r="F357" t="s">
        <v>268</v>
      </c>
      <c r="G357">
        <v>3</v>
      </c>
      <c r="H357">
        <v>18.440000000000001</v>
      </c>
      <c r="I357">
        <v>55.32</v>
      </c>
      <c r="J357" t="s">
        <v>668</v>
      </c>
      <c r="K357" t="s">
        <v>17</v>
      </c>
      <c r="L357">
        <v>5</v>
      </c>
      <c r="M357" t="s">
        <v>1687</v>
      </c>
      <c r="N357" t="s">
        <v>1674</v>
      </c>
      <c r="O357">
        <v>4</v>
      </c>
      <c r="P357" t="s">
        <v>1695</v>
      </c>
    </row>
    <row r="358" spans="1:16" x14ac:dyDescent="0.3">
      <c r="A358" t="s">
        <v>1030</v>
      </c>
      <c r="B358" s="1">
        <v>45719</v>
      </c>
      <c r="C358" s="2">
        <v>0.47916666666666669</v>
      </c>
      <c r="D358" t="s">
        <v>1031</v>
      </c>
      <c r="E358" t="s">
        <v>14</v>
      </c>
      <c r="F358" t="s">
        <v>1032</v>
      </c>
      <c r="G358">
        <v>6</v>
      </c>
      <c r="H358">
        <v>10.15</v>
      </c>
      <c r="I358">
        <v>60.9</v>
      </c>
      <c r="J358" t="s">
        <v>668</v>
      </c>
      <c r="K358" t="s">
        <v>17</v>
      </c>
      <c r="L358">
        <v>3</v>
      </c>
      <c r="M358" t="s">
        <v>1675</v>
      </c>
      <c r="N358" t="s">
        <v>1674</v>
      </c>
      <c r="O358">
        <v>3</v>
      </c>
      <c r="P358" t="s">
        <v>1693</v>
      </c>
    </row>
    <row r="359" spans="1:16" x14ac:dyDescent="0.3">
      <c r="A359" t="s">
        <v>1033</v>
      </c>
      <c r="B359" s="1">
        <v>45685</v>
      </c>
      <c r="C359" s="2">
        <v>0.75069444444444444</v>
      </c>
      <c r="D359" t="s">
        <v>1034</v>
      </c>
      <c r="E359" t="s">
        <v>35</v>
      </c>
      <c r="F359" t="s">
        <v>1035</v>
      </c>
      <c r="G359">
        <v>3</v>
      </c>
      <c r="H359">
        <v>30.91</v>
      </c>
      <c r="I359">
        <v>92.73</v>
      </c>
      <c r="J359" t="s">
        <v>668</v>
      </c>
      <c r="K359" t="s">
        <v>17</v>
      </c>
      <c r="L359">
        <v>2</v>
      </c>
      <c r="M359" t="s">
        <v>1682</v>
      </c>
      <c r="N359" t="s">
        <v>1674</v>
      </c>
      <c r="O359">
        <v>1</v>
      </c>
      <c r="P359" t="s">
        <v>1694</v>
      </c>
    </row>
    <row r="360" spans="1:16" x14ac:dyDescent="0.3">
      <c r="A360" t="s">
        <v>1036</v>
      </c>
      <c r="B360" s="1">
        <v>45677</v>
      </c>
      <c r="C360" s="2">
        <v>0.78055555555555556</v>
      </c>
      <c r="D360" t="s">
        <v>1037</v>
      </c>
      <c r="E360" t="s">
        <v>20</v>
      </c>
      <c r="F360" t="s">
        <v>1038</v>
      </c>
      <c r="G360">
        <v>6</v>
      </c>
      <c r="H360">
        <v>15.93</v>
      </c>
      <c r="I360">
        <v>95.58</v>
      </c>
      <c r="J360" t="s">
        <v>668</v>
      </c>
      <c r="K360" t="s">
        <v>17</v>
      </c>
      <c r="L360">
        <v>5</v>
      </c>
      <c r="M360" t="s">
        <v>1682</v>
      </c>
      <c r="N360" t="s">
        <v>1674</v>
      </c>
      <c r="O360">
        <v>1</v>
      </c>
      <c r="P360" t="s">
        <v>1694</v>
      </c>
    </row>
    <row r="361" spans="1:16" x14ac:dyDescent="0.3">
      <c r="A361" t="s">
        <v>1039</v>
      </c>
      <c r="B361" s="1">
        <v>45824</v>
      </c>
      <c r="C361" s="2">
        <v>0.56874999999999998</v>
      </c>
      <c r="D361" t="s">
        <v>1040</v>
      </c>
      <c r="E361" t="s">
        <v>35</v>
      </c>
      <c r="F361" t="s">
        <v>1041</v>
      </c>
      <c r="G361">
        <v>5</v>
      </c>
      <c r="H361">
        <v>39.86</v>
      </c>
      <c r="I361">
        <v>199.3</v>
      </c>
      <c r="J361" t="s">
        <v>668</v>
      </c>
      <c r="K361" t="s">
        <v>17</v>
      </c>
      <c r="L361">
        <v>5</v>
      </c>
      <c r="M361" t="s">
        <v>1688</v>
      </c>
      <c r="N361" t="s">
        <v>1674</v>
      </c>
      <c r="O361">
        <v>6</v>
      </c>
      <c r="P361" t="s">
        <v>1697</v>
      </c>
    </row>
    <row r="362" spans="1:16" x14ac:dyDescent="0.3">
      <c r="A362" t="s">
        <v>1042</v>
      </c>
      <c r="B362" s="1">
        <v>45660</v>
      </c>
      <c r="C362" s="2">
        <v>0.71666666666666667</v>
      </c>
      <c r="D362" t="s">
        <v>1043</v>
      </c>
      <c r="E362" t="s">
        <v>35</v>
      </c>
      <c r="F362" t="s">
        <v>1044</v>
      </c>
      <c r="G362">
        <v>1</v>
      </c>
      <c r="H362">
        <v>15.86</v>
      </c>
      <c r="I362">
        <v>15.86</v>
      </c>
      <c r="J362" t="s">
        <v>668</v>
      </c>
      <c r="K362" t="s">
        <v>17</v>
      </c>
      <c r="L362">
        <v>2</v>
      </c>
      <c r="M362" t="s">
        <v>1676</v>
      </c>
      <c r="N362" t="s">
        <v>1674</v>
      </c>
      <c r="O362">
        <v>1</v>
      </c>
      <c r="P362" t="s">
        <v>1694</v>
      </c>
    </row>
    <row r="363" spans="1:16" x14ac:dyDescent="0.3">
      <c r="A363" t="s">
        <v>1045</v>
      </c>
      <c r="B363" s="1">
        <v>45761</v>
      </c>
      <c r="C363" s="2">
        <v>0.84375</v>
      </c>
      <c r="D363" t="s">
        <v>1046</v>
      </c>
      <c r="E363" t="s">
        <v>24</v>
      </c>
      <c r="F363" t="s">
        <v>1047</v>
      </c>
      <c r="G363">
        <v>3</v>
      </c>
      <c r="H363">
        <v>34.880000000000003</v>
      </c>
      <c r="I363">
        <v>104.64</v>
      </c>
      <c r="J363" t="s">
        <v>668</v>
      </c>
      <c r="K363" t="s">
        <v>17</v>
      </c>
      <c r="L363">
        <v>5</v>
      </c>
      <c r="M363" t="s">
        <v>1681</v>
      </c>
      <c r="N363" t="s">
        <v>1674</v>
      </c>
      <c r="O363">
        <v>4</v>
      </c>
      <c r="P363" t="s">
        <v>1695</v>
      </c>
    </row>
    <row r="364" spans="1:16" x14ac:dyDescent="0.3">
      <c r="A364" t="s">
        <v>1048</v>
      </c>
      <c r="B364" s="1">
        <v>45773</v>
      </c>
      <c r="C364" s="2">
        <v>0.97777777777777775</v>
      </c>
      <c r="D364" t="s">
        <v>1049</v>
      </c>
      <c r="E364" t="s">
        <v>35</v>
      </c>
      <c r="F364" t="s">
        <v>1050</v>
      </c>
      <c r="G364">
        <v>3</v>
      </c>
      <c r="H364">
        <v>43.71</v>
      </c>
      <c r="I364">
        <v>131.13</v>
      </c>
      <c r="J364" t="s">
        <v>668</v>
      </c>
      <c r="K364" t="s">
        <v>17</v>
      </c>
      <c r="L364">
        <v>5</v>
      </c>
      <c r="M364" t="s">
        <v>1678</v>
      </c>
      <c r="N364" t="s">
        <v>1674</v>
      </c>
      <c r="O364">
        <v>4</v>
      </c>
      <c r="P364" t="s">
        <v>1695</v>
      </c>
    </row>
    <row r="365" spans="1:16" x14ac:dyDescent="0.3">
      <c r="A365" t="s">
        <v>1051</v>
      </c>
      <c r="B365" s="1">
        <v>45773</v>
      </c>
      <c r="C365" s="2">
        <v>0.85972222222222228</v>
      </c>
      <c r="D365" t="s">
        <v>1052</v>
      </c>
      <c r="E365" t="s">
        <v>14</v>
      </c>
      <c r="F365" t="s">
        <v>1053</v>
      </c>
      <c r="G365">
        <v>4</v>
      </c>
      <c r="H365">
        <v>18.11</v>
      </c>
      <c r="I365">
        <v>72.44</v>
      </c>
      <c r="J365" t="s">
        <v>668</v>
      </c>
      <c r="K365" t="s">
        <v>17</v>
      </c>
      <c r="L365">
        <v>3</v>
      </c>
      <c r="M365" t="s">
        <v>1681</v>
      </c>
      <c r="N365" t="s">
        <v>1674</v>
      </c>
      <c r="O365">
        <v>4</v>
      </c>
      <c r="P365" t="s">
        <v>1695</v>
      </c>
    </row>
    <row r="366" spans="1:16" x14ac:dyDescent="0.3">
      <c r="A366" t="s">
        <v>1054</v>
      </c>
      <c r="B366" s="1">
        <v>45770</v>
      </c>
      <c r="C366" s="2">
        <v>0.44305555555555554</v>
      </c>
      <c r="D366" t="s">
        <v>1055</v>
      </c>
      <c r="E366" t="s">
        <v>20</v>
      </c>
      <c r="F366" t="s">
        <v>918</v>
      </c>
      <c r="G366">
        <v>1</v>
      </c>
      <c r="H366">
        <v>45.02</v>
      </c>
      <c r="I366">
        <v>45.02</v>
      </c>
      <c r="J366" t="s">
        <v>668</v>
      </c>
      <c r="K366" t="s">
        <v>17</v>
      </c>
      <c r="L366">
        <v>3</v>
      </c>
      <c r="M366" t="s">
        <v>1685</v>
      </c>
      <c r="N366" t="s">
        <v>1674</v>
      </c>
      <c r="O366">
        <v>4</v>
      </c>
      <c r="P366" t="s">
        <v>1695</v>
      </c>
    </row>
    <row r="367" spans="1:16" x14ac:dyDescent="0.3">
      <c r="A367" t="s">
        <v>1056</v>
      </c>
      <c r="B367" s="1">
        <v>45838</v>
      </c>
      <c r="C367" s="2">
        <v>0.55972222222222223</v>
      </c>
      <c r="D367" t="s">
        <v>1057</v>
      </c>
      <c r="E367" t="s">
        <v>14</v>
      </c>
      <c r="F367" t="s">
        <v>1058</v>
      </c>
      <c r="G367">
        <v>4</v>
      </c>
      <c r="H367">
        <v>49.11</v>
      </c>
      <c r="I367">
        <v>196.44</v>
      </c>
      <c r="J367" t="s">
        <v>668</v>
      </c>
      <c r="K367" t="s">
        <v>17</v>
      </c>
      <c r="L367">
        <v>2</v>
      </c>
      <c r="M367" t="s">
        <v>1688</v>
      </c>
      <c r="N367" t="s">
        <v>1674</v>
      </c>
      <c r="O367">
        <v>6</v>
      </c>
      <c r="P367" t="s">
        <v>1697</v>
      </c>
    </row>
    <row r="368" spans="1:16" x14ac:dyDescent="0.3">
      <c r="A368" t="s">
        <v>1059</v>
      </c>
      <c r="B368" s="1">
        <v>45745</v>
      </c>
      <c r="C368" s="2">
        <v>0.99305555555555558</v>
      </c>
      <c r="D368" t="s">
        <v>1060</v>
      </c>
      <c r="E368" t="s">
        <v>45</v>
      </c>
      <c r="F368" t="s">
        <v>531</v>
      </c>
      <c r="G368">
        <v>5</v>
      </c>
      <c r="H368">
        <v>17.02</v>
      </c>
      <c r="I368">
        <v>85.1</v>
      </c>
      <c r="J368" t="s">
        <v>668</v>
      </c>
      <c r="K368" t="s">
        <v>17</v>
      </c>
      <c r="L368">
        <v>3</v>
      </c>
      <c r="M368" t="s">
        <v>1678</v>
      </c>
      <c r="N368" t="s">
        <v>1674</v>
      </c>
      <c r="O368">
        <v>3</v>
      </c>
      <c r="P368" t="s">
        <v>1693</v>
      </c>
    </row>
    <row r="369" spans="1:16" x14ac:dyDescent="0.3">
      <c r="A369" t="s">
        <v>1061</v>
      </c>
      <c r="B369" s="1">
        <v>45804</v>
      </c>
      <c r="C369" s="2">
        <v>0.63472222222222219</v>
      </c>
      <c r="D369" t="s">
        <v>1062</v>
      </c>
      <c r="E369" t="s">
        <v>20</v>
      </c>
      <c r="F369" t="s">
        <v>752</v>
      </c>
      <c r="G369">
        <v>4</v>
      </c>
      <c r="H369">
        <v>6.96</v>
      </c>
      <c r="I369">
        <v>27.84</v>
      </c>
      <c r="J369" t="s">
        <v>668</v>
      </c>
      <c r="K369" t="s">
        <v>17</v>
      </c>
      <c r="L369">
        <v>4</v>
      </c>
      <c r="M369" t="s">
        <v>1677</v>
      </c>
      <c r="N369" t="s">
        <v>1674</v>
      </c>
      <c r="O369">
        <v>5</v>
      </c>
      <c r="P369" t="s">
        <v>1696</v>
      </c>
    </row>
    <row r="370" spans="1:16" x14ac:dyDescent="0.3">
      <c r="A370" t="s">
        <v>1063</v>
      </c>
      <c r="B370" s="1">
        <v>45779</v>
      </c>
      <c r="C370" s="2">
        <v>0.7006944444444444</v>
      </c>
      <c r="D370" t="s">
        <v>1064</v>
      </c>
      <c r="E370" t="s">
        <v>45</v>
      </c>
      <c r="F370" t="s">
        <v>396</v>
      </c>
      <c r="G370">
        <v>3</v>
      </c>
      <c r="H370">
        <v>28.1</v>
      </c>
      <c r="I370">
        <v>84.3</v>
      </c>
      <c r="J370" t="s">
        <v>668</v>
      </c>
      <c r="K370" t="s">
        <v>17</v>
      </c>
      <c r="L370">
        <v>2</v>
      </c>
      <c r="M370" t="s">
        <v>1687</v>
      </c>
      <c r="N370" t="s">
        <v>1674</v>
      </c>
      <c r="O370">
        <v>5</v>
      </c>
      <c r="P370" t="s">
        <v>1696</v>
      </c>
    </row>
    <row r="371" spans="1:16" x14ac:dyDescent="0.3">
      <c r="A371" t="s">
        <v>1065</v>
      </c>
      <c r="B371" s="1">
        <v>45713</v>
      </c>
      <c r="C371" s="2">
        <v>0.6430555555555556</v>
      </c>
      <c r="D371" t="s">
        <v>1066</v>
      </c>
      <c r="E371" t="s">
        <v>24</v>
      </c>
      <c r="F371" t="s">
        <v>363</v>
      </c>
      <c r="G371">
        <v>4</v>
      </c>
      <c r="H371">
        <v>20.34</v>
      </c>
      <c r="I371">
        <v>81.36</v>
      </c>
      <c r="J371" t="s">
        <v>668</v>
      </c>
      <c r="K371" t="s">
        <v>17</v>
      </c>
      <c r="L371">
        <v>3</v>
      </c>
      <c r="M371" t="s">
        <v>1677</v>
      </c>
      <c r="N371" t="s">
        <v>1674</v>
      </c>
      <c r="O371">
        <v>2</v>
      </c>
      <c r="P371" t="s">
        <v>1692</v>
      </c>
    </row>
    <row r="372" spans="1:16" x14ac:dyDescent="0.3">
      <c r="A372" t="s">
        <v>1067</v>
      </c>
      <c r="B372" s="1">
        <v>45775</v>
      </c>
      <c r="C372" s="2">
        <v>0.96111111111111114</v>
      </c>
      <c r="D372" t="s">
        <v>1068</v>
      </c>
      <c r="E372" t="s">
        <v>31</v>
      </c>
      <c r="F372" t="s">
        <v>1069</v>
      </c>
      <c r="G372">
        <v>3</v>
      </c>
      <c r="H372">
        <v>30.91</v>
      </c>
      <c r="I372">
        <v>92.73</v>
      </c>
      <c r="J372" t="s">
        <v>668</v>
      </c>
      <c r="K372" t="s">
        <v>17</v>
      </c>
      <c r="L372">
        <v>4</v>
      </c>
      <c r="M372" t="s">
        <v>1678</v>
      </c>
      <c r="N372" t="s">
        <v>1674</v>
      </c>
      <c r="O372">
        <v>4</v>
      </c>
      <c r="P372" t="s">
        <v>1695</v>
      </c>
    </row>
    <row r="373" spans="1:16" x14ac:dyDescent="0.3">
      <c r="A373" t="s">
        <v>1070</v>
      </c>
      <c r="B373" s="1">
        <v>45680</v>
      </c>
      <c r="C373" s="2">
        <v>0.66249999999999998</v>
      </c>
      <c r="D373" t="s">
        <v>1071</v>
      </c>
      <c r="E373" t="s">
        <v>31</v>
      </c>
      <c r="F373" t="s">
        <v>1072</v>
      </c>
      <c r="G373">
        <v>1</v>
      </c>
      <c r="H373">
        <v>15.95</v>
      </c>
      <c r="I373">
        <v>15.95</v>
      </c>
      <c r="J373" t="s">
        <v>668</v>
      </c>
      <c r="K373" t="s">
        <v>17</v>
      </c>
      <c r="L373">
        <v>1</v>
      </c>
      <c r="M373" t="s">
        <v>1677</v>
      </c>
      <c r="N373" t="s">
        <v>1674</v>
      </c>
      <c r="O373">
        <v>1</v>
      </c>
      <c r="P373" t="s">
        <v>1694</v>
      </c>
    </row>
    <row r="374" spans="1:16" x14ac:dyDescent="0.3">
      <c r="A374" t="s">
        <v>1073</v>
      </c>
      <c r="B374" s="1">
        <v>45820</v>
      </c>
      <c r="C374" s="2">
        <v>0.43958333333333333</v>
      </c>
      <c r="D374" t="s">
        <v>1074</v>
      </c>
      <c r="E374" t="s">
        <v>24</v>
      </c>
      <c r="F374" t="s">
        <v>1075</v>
      </c>
      <c r="G374">
        <v>5</v>
      </c>
      <c r="H374">
        <v>13.73</v>
      </c>
      <c r="I374">
        <v>68.650000000000006</v>
      </c>
      <c r="J374" t="s">
        <v>668</v>
      </c>
      <c r="K374" t="s">
        <v>17</v>
      </c>
      <c r="L374">
        <v>2</v>
      </c>
      <c r="M374" t="s">
        <v>1685</v>
      </c>
      <c r="N374" t="s">
        <v>1674</v>
      </c>
      <c r="O374">
        <v>6</v>
      </c>
      <c r="P374" t="s">
        <v>1697</v>
      </c>
    </row>
    <row r="375" spans="1:16" x14ac:dyDescent="0.3">
      <c r="A375" t="s">
        <v>1076</v>
      </c>
      <c r="B375" s="1">
        <v>45787</v>
      </c>
      <c r="C375" s="2">
        <v>0.7993055555555556</v>
      </c>
      <c r="D375" t="s">
        <v>1077</v>
      </c>
      <c r="E375" t="s">
        <v>35</v>
      </c>
      <c r="F375" t="s">
        <v>1078</v>
      </c>
      <c r="G375">
        <v>1</v>
      </c>
      <c r="H375">
        <v>16.149999999999999</v>
      </c>
      <c r="I375">
        <v>16.149999999999999</v>
      </c>
      <c r="J375" t="s">
        <v>668</v>
      </c>
      <c r="K375" t="s">
        <v>17</v>
      </c>
      <c r="L375">
        <v>5</v>
      </c>
      <c r="M375" t="s">
        <v>1683</v>
      </c>
      <c r="N375" t="s">
        <v>1674</v>
      </c>
      <c r="O375">
        <v>5</v>
      </c>
      <c r="P375" t="s">
        <v>1696</v>
      </c>
    </row>
    <row r="376" spans="1:16" x14ac:dyDescent="0.3">
      <c r="A376" t="s">
        <v>1079</v>
      </c>
      <c r="B376" s="1">
        <v>45733</v>
      </c>
      <c r="C376" s="2">
        <v>0.50138888888888888</v>
      </c>
      <c r="D376" t="s">
        <v>1080</v>
      </c>
      <c r="E376" t="s">
        <v>24</v>
      </c>
      <c r="F376" t="s">
        <v>1081</v>
      </c>
      <c r="G376">
        <v>2</v>
      </c>
      <c r="H376">
        <v>44.86</v>
      </c>
      <c r="I376">
        <v>89.72</v>
      </c>
      <c r="J376" t="s">
        <v>668</v>
      </c>
      <c r="K376" t="s">
        <v>17</v>
      </c>
      <c r="L376">
        <v>4</v>
      </c>
      <c r="M376" t="s">
        <v>1674</v>
      </c>
      <c r="N376" t="s">
        <v>1674</v>
      </c>
      <c r="O376">
        <v>3</v>
      </c>
      <c r="P376" t="s">
        <v>1693</v>
      </c>
    </row>
    <row r="377" spans="1:16" x14ac:dyDescent="0.3">
      <c r="A377" t="s">
        <v>1082</v>
      </c>
      <c r="B377" s="1">
        <v>45825</v>
      </c>
      <c r="C377" s="2">
        <v>0.59513888888888888</v>
      </c>
      <c r="D377" t="s">
        <v>1083</v>
      </c>
      <c r="E377" t="s">
        <v>35</v>
      </c>
      <c r="F377" t="s">
        <v>52</v>
      </c>
      <c r="G377">
        <v>1</v>
      </c>
      <c r="H377">
        <v>40.97</v>
      </c>
      <c r="I377">
        <v>40.97</v>
      </c>
      <c r="J377" t="s">
        <v>668</v>
      </c>
      <c r="K377" t="s">
        <v>17</v>
      </c>
      <c r="L377">
        <v>4</v>
      </c>
      <c r="M377" t="s">
        <v>1684</v>
      </c>
      <c r="N377" t="s">
        <v>1674</v>
      </c>
      <c r="O377">
        <v>6</v>
      </c>
      <c r="P377" t="s">
        <v>1697</v>
      </c>
    </row>
    <row r="378" spans="1:16" x14ac:dyDescent="0.3">
      <c r="A378" t="s">
        <v>1084</v>
      </c>
      <c r="B378" s="1">
        <v>45700</v>
      </c>
      <c r="C378" s="2">
        <v>0.85277777777777775</v>
      </c>
      <c r="D378" t="s">
        <v>1085</v>
      </c>
      <c r="E378" t="s">
        <v>20</v>
      </c>
      <c r="F378" t="s">
        <v>1086</v>
      </c>
      <c r="G378">
        <v>3</v>
      </c>
      <c r="H378">
        <v>25.12</v>
      </c>
      <c r="I378">
        <v>75.36</v>
      </c>
      <c r="J378" t="s">
        <v>668</v>
      </c>
      <c r="K378" t="s">
        <v>17</v>
      </c>
      <c r="L378">
        <v>4</v>
      </c>
      <c r="M378" t="s">
        <v>1681</v>
      </c>
      <c r="N378" t="s">
        <v>1674</v>
      </c>
      <c r="O378">
        <v>2</v>
      </c>
      <c r="P378" t="s">
        <v>1692</v>
      </c>
    </row>
    <row r="379" spans="1:16" x14ac:dyDescent="0.3">
      <c r="A379" t="s">
        <v>1087</v>
      </c>
      <c r="B379" s="1">
        <v>45739</v>
      </c>
      <c r="C379" s="2">
        <v>0.87152777777777779</v>
      </c>
      <c r="D379" t="s">
        <v>1088</v>
      </c>
      <c r="E379" t="s">
        <v>14</v>
      </c>
      <c r="F379" t="s">
        <v>1089</v>
      </c>
      <c r="G379">
        <v>3</v>
      </c>
      <c r="H379">
        <v>48.89</v>
      </c>
      <c r="I379">
        <v>146.66999999999999</v>
      </c>
      <c r="J379" t="s">
        <v>668</v>
      </c>
      <c r="K379" t="s">
        <v>17</v>
      </c>
      <c r="L379">
        <v>5</v>
      </c>
      <c r="M379" t="s">
        <v>1681</v>
      </c>
      <c r="N379" t="s">
        <v>1674</v>
      </c>
      <c r="O379">
        <v>3</v>
      </c>
      <c r="P379" t="s">
        <v>1693</v>
      </c>
    </row>
    <row r="380" spans="1:16" x14ac:dyDescent="0.3">
      <c r="A380" t="s">
        <v>1090</v>
      </c>
      <c r="B380" s="1">
        <v>45670</v>
      </c>
      <c r="C380" s="2">
        <v>0.55833333333333335</v>
      </c>
      <c r="D380" t="s">
        <v>1091</v>
      </c>
      <c r="E380" t="s">
        <v>14</v>
      </c>
      <c r="F380" t="s">
        <v>519</v>
      </c>
      <c r="G380">
        <v>5</v>
      </c>
      <c r="H380">
        <v>23.82</v>
      </c>
      <c r="I380">
        <v>119.1</v>
      </c>
      <c r="J380" t="s">
        <v>668</v>
      </c>
      <c r="K380" t="s">
        <v>17</v>
      </c>
      <c r="L380">
        <v>3</v>
      </c>
      <c r="M380" t="s">
        <v>1688</v>
      </c>
      <c r="N380" t="s">
        <v>1674</v>
      </c>
      <c r="O380">
        <v>1</v>
      </c>
      <c r="P380" t="s">
        <v>1694</v>
      </c>
    </row>
    <row r="381" spans="1:16" x14ac:dyDescent="0.3">
      <c r="A381" t="s">
        <v>1092</v>
      </c>
      <c r="B381" s="1">
        <v>45751</v>
      </c>
      <c r="C381" s="2">
        <v>0.3923611111111111</v>
      </c>
      <c r="D381" t="s">
        <v>1093</v>
      </c>
      <c r="E381" t="s">
        <v>14</v>
      </c>
      <c r="F381" t="s">
        <v>579</v>
      </c>
      <c r="G381">
        <v>1</v>
      </c>
      <c r="H381">
        <v>30.66</v>
      </c>
      <c r="I381">
        <v>30.66</v>
      </c>
      <c r="J381" t="s">
        <v>668</v>
      </c>
      <c r="K381" t="s">
        <v>17</v>
      </c>
      <c r="L381">
        <v>3</v>
      </c>
      <c r="M381" t="s">
        <v>1679</v>
      </c>
      <c r="N381" t="s">
        <v>1674</v>
      </c>
      <c r="O381">
        <v>4</v>
      </c>
      <c r="P381" t="s">
        <v>1695</v>
      </c>
    </row>
    <row r="382" spans="1:16" x14ac:dyDescent="0.3">
      <c r="A382" t="s">
        <v>1094</v>
      </c>
      <c r="B382" s="1">
        <v>45763</v>
      </c>
      <c r="C382" s="2">
        <v>0.84236111111111112</v>
      </c>
      <c r="D382" t="s">
        <v>1095</v>
      </c>
      <c r="E382" t="s">
        <v>31</v>
      </c>
      <c r="F382" t="s">
        <v>741</v>
      </c>
      <c r="G382">
        <v>4</v>
      </c>
      <c r="H382">
        <v>27.58</v>
      </c>
      <c r="I382">
        <v>110.32</v>
      </c>
      <c r="J382" t="s">
        <v>668</v>
      </c>
      <c r="K382" t="s">
        <v>17</v>
      </c>
      <c r="L382">
        <v>1</v>
      </c>
      <c r="M382" t="s">
        <v>1681</v>
      </c>
      <c r="N382" t="s">
        <v>1674</v>
      </c>
      <c r="O382">
        <v>4</v>
      </c>
      <c r="P382" t="s">
        <v>1695</v>
      </c>
    </row>
    <row r="383" spans="1:16" x14ac:dyDescent="0.3">
      <c r="A383" t="s">
        <v>1096</v>
      </c>
      <c r="B383" s="1">
        <v>45838</v>
      </c>
      <c r="C383" s="2">
        <v>0.48125000000000001</v>
      </c>
      <c r="D383" t="s">
        <v>1097</v>
      </c>
      <c r="E383" t="s">
        <v>20</v>
      </c>
      <c r="F383" t="s">
        <v>764</v>
      </c>
      <c r="G383">
        <v>2</v>
      </c>
      <c r="H383">
        <v>30.24</v>
      </c>
      <c r="I383">
        <v>60.48</v>
      </c>
      <c r="J383" t="s">
        <v>668</v>
      </c>
      <c r="K383" t="s">
        <v>17</v>
      </c>
      <c r="L383">
        <v>4</v>
      </c>
      <c r="M383" t="s">
        <v>1675</v>
      </c>
      <c r="N383" t="s">
        <v>1674</v>
      </c>
      <c r="O383">
        <v>6</v>
      </c>
      <c r="P383" t="s">
        <v>1697</v>
      </c>
    </row>
    <row r="384" spans="1:16" x14ac:dyDescent="0.3">
      <c r="A384" t="s">
        <v>1098</v>
      </c>
      <c r="B384" s="1">
        <v>45838</v>
      </c>
      <c r="C384" s="2">
        <v>0.53055555555555556</v>
      </c>
      <c r="D384" t="s">
        <v>1099</v>
      </c>
      <c r="E384" t="s">
        <v>35</v>
      </c>
      <c r="F384" t="s">
        <v>1100</v>
      </c>
      <c r="G384">
        <v>6</v>
      </c>
      <c r="H384">
        <v>27.01</v>
      </c>
      <c r="I384">
        <v>162.06</v>
      </c>
      <c r="J384" t="s">
        <v>668</v>
      </c>
      <c r="K384" t="s">
        <v>17</v>
      </c>
      <c r="L384">
        <v>3</v>
      </c>
      <c r="M384" t="s">
        <v>1674</v>
      </c>
      <c r="N384" t="s">
        <v>1674</v>
      </c>
      <c r="O384">
        <v>6</v>
      </c>
      <c r="P384" t="s">
        <v>1697</v>
      </c>
    </row>
    <row r="385" spans="1:16" x14ac:dyDescent="0.3">
      <c r="A385" t="s">
        <v>1101</v>
      </c>
      <c r="B385" s="1">
        <v>45659</v>
      </c>
      <c r="C385" s="2">
        <v>0.74930555555555556</v>
      </c>
      <c r="D385" t="s">
        <v>1102</v>
      </c>
      <c r="E385" t="s">
        <v>35</v>
      </c>
      <c r="F385" t="s">
        <v>1103</v>
      </c>
      <c r="G385">
        <v>2</v>
      </c>
      <c r="H385">
        <v>23.31</v>
      </c>
      <c r="I385">
        <v>46.62</v>
      </c>
      <c r="J385" t="s">
        <v>668</v>
      </c>
      <c r="K385" t="s">
        <v>17</v>
      </c>
      <c r="L385">
        <v>2</v>
      </c>
      <c r="M385" t="s">
        <v>1676</v>
      </c>
      <c r="N385" t="s">
        <v>1674</v>
      </c>
      <c r="O385">
        <v>1</v>
      </c>
      <c r="P385" t="s">
        <v>1694</v>
      </c>
    </row>
    <row r="386" spans="1:16" x14ac:dyDescent="0.3">
      <c r="A386" t="s">
        <v>1104</v>
      </c>
      <c r="B386" s="1">
        <v>45823</v>
      </c>
      <c r="C386" s="2">
        <v>0.57291666666666663</v>
      </c>
      <c r="D386" t="s">
        <v>1105</v>
      </c>
      <c r="E386" t="s">
        <v>24</v>
      </c>
      <c r="F386" t="s">
        <v>1106</v>
      </c>
      <c r="G386">
        <v>2</v>
      </c>
      <c r="H386">
        <v>5.63</v>
      </c>
      <c r="I386">
        <v>11.26</v>
      </c>
      <c r="J386" t="s">
        <v>668</v>
      </c>
      <c r="K386" t="s">
        <v>17</v>
      </c>
      <c r="L386">
        <v>2</v>
      </c>
      <c r="M386" t="s">
        <v>1688</v>
      </c>
      <c r="N386" t="s">
        <v>1674</v>
      </c>
      <c r="O386">
        <v>6</v>
      </c>
      <c r="P386" t="s">
        <v>1697</v>
      </c>
    </row>
    <row r="387" spans="1:16" x14ac:dyDescent="0.3">
      <c r="A387" t="s">
        <v>1107</v>
      </c>
      <c r="B387" s="1">
        <v>45724</v>
      </c>
      <c r="C387" s="2">
        <v>0.63541666666666663</v>
      </c>
      <c r="D387" t="s">
        <v>1108</v>
      </c>
      <c r="E387" t="s">
        <v>24</v>
      </c>
      <c r="F387" t="s">
        <v>438</v>
      </c>
      <c r="G387">
        <v>4</v>
      </c>
      <c r="H387">
        <v>38.92</v>
      </c>
      <c r="I387">
        <v>155.68</v>
      </c>
      <c r="J387" t="s">
        <v>668</v>
      </c>
      <c r="K387" t="s">
        <v>17</v>
      </c>
      <c r="L387">
        <v>5</v>
      </c>
      <c r="M387" t="s">
        <v>1677</v>
      </c>
      <c r="N387" t="s">
        <v>1674</v>
      </c>
      <c r="O387">
        <v>3</v>
      </c>
      <c r="P387" t="s">
        <v>1693</v>
      </c>
    </row>
    <row r="388" spans="1:16" x14ac:dyDescent="0.3">
      <c r="A388" t="s">
        <v>1109</v>
      </c>
      <c r="B388" s="1">
        <v>45736</v>
      </c>
      <c r="C388" s="2">
        <v>0.47569444444444442</v>
      </c>
      <c r="D388" t="s">
        <v>1110</v>
      </c>
      <c r="E388" t="s">
        <v>20</v>
      </c>
      <c r="F388" t="s">
        <v>1111</v>
      </c>
      <c r="G388">
        <v>6</v>
      </c>
      <c r="H388">
        <v>27.61</v>
      </c>
      <c r="I388">
        <v>165.66</v>
      </c>
      <c r="J388" t="s">
        <v>668</v>
      </c>
      <c r="K388" t="s">
        <v>17</v>
      </c>
      <c r="L388">
        <v>1</v>
      </c>
      <c r="M388" t="s">
        <v>1675</v>
      </c>
      <c r="N388" t="s">
        <v>1674</v>
      </c>
      <c r="O388">
        <v>3</v>
      </c>
      <c r="P388" t="s">
        <v>1693</v>
      </c>
    </row>
    <row r="389" spans="1:16" x14ac:dyDescent="0.3">
      <c r="A389" t="s">
        <v>1112</v>
      </c>
      <c r="B389" s="1">
        <v>45774</v>
      </c>
      <c r="C389" s="2">
        <v>0.85972222222222228</v>
      </c>
      <c r="D389" t="s">
        <v>1113</v>
      </c>
      <c r="E389" t="s">
        <v>31</v>
      </c>
      <c r="F389" t="s">
        <v>1114</v>
      </c>
      <c r="G389">
        <v>3</v>
      </c>
      <c r="H389">
        <v>23.71</v>
      </c>
      <c r="I389">
        <v>71.13</v>
      </c>
      <c r="J389" t="s">
        <v>668</v>
      </c>
      <c r="K389" t="s">
        <v>17</v>
      </c>
      <c r="L389">
        <v>2</v>
      </c>
      <c r="M389" t="s">
        <v>1681</v>
      </c>
      <c r="N389" t="s">
        <v>1674</v>
      </c>
      <c r="O389">
        <v>4</v>
      </c>
      <c r="P389" t="s">
        <v>1695</v>
      </c>
    </row>
    <row r="390" spans="1:16" x14ac:dyDescent="0.3">
      <c r="A390" t="s">
        <v>1115</v>
      </c>
      <c r="B390" s="1">
        <v>45764</v>
      </c>
      <c r="C390" s="2">
        <v>0.69166666666666665</v>
      </c>
      <c r="D390" t="s">
        <v>1116</v>
      </c>
      <c r="E390" t="s">
        <v>20</v>
      </c>
      <c r="F390" t="s">
        <v>1117</v>
      </c>
      <c r="G390">
        <v>1</v>
      </c>
      <c r="H390">
        <v>30.15</v>
      </c>
      <c r="I390">
        <v>30.15</v>
      </c>
      <c r="J390" t="s">
        <v>668</v>
      </c>
      <c r="K390" t="s">
        <v>17</v>
      </c>
      <c r="L390">
        <v>1</v>
      </c>
      <c r="M390" t="s">
        <v>1687</v>
      </c>
      <c r="N390" t="s">
        <v>1674</v>
      </c>
      <c r="O390">
        <v>4</v>
      </c>
      <c r="P390" t="s">
        <v>1695</v>
      </c>
    </row>
    <row r="391" spans="1:16" x14ac:dyDescent="0.3">
      <c r="A391" t="s">
        <v>1118</v>
      </c>
      <c r="B391" s="1">
        <v>45825</v>
      </c>
      <c r="C391" s="2">
        <v>0.93194444444444446</v>
      </c>
      <c r="D391" t="s">
        <v>1119</v>
      </c>
      <c r="E391" t="s">
        <v>31</v>
      </c>
      <c r="F391" t="s">
        <v>1120</v>
      </c>
      <c r="G391">
        <v>1</v>
      </c>
      <c r="H391">
        <v>13.03</v>
      </c>
      <c r="I391">
        <v>13.03</v>
      </c>
      <c r="J391" t="s">
        <v>668</v>
      </c>
      <c r="K391" t="s">
        <v>17</v>
      </c>
      <c r="L391">
        <v>2</v>
      </c>
      <c r="M391" t="s">
        <v>1680</v>
      </c>
      <c r="N391" t="s">
        <v>1674</v>
      </c>
      <c r="O391">
        <v>6</v>
      </c>
      <c r="P391" t="s">
        <v>1697</v>
      </c>
    </row>
    <row r="392" spans="1:16" x14ac:dyDescent="0.3">
      <c r="A392" t="s">
        <v>1121</v>
      </c>
      <c r="B392" s="1">
        <v>45800</v>
      </c>
      <c r="C392" s="2">
        <v>0.66874999999999996</v>
      </c>
      <c r="D392" t="s">
        <v>1122</v>
      </c>
      <c r="E392" t="s">
        <v>20</v>
      </c>
      <c r="F392" t="s">
        <v>1123</v>
      </c>
      <c r="G392">
        <v>3</v>
      </c>
      <c r="H392">
        <v>47.37</v>
      </c>
      <c r="I392">
        <v>142.11000000000001</v>
      </c>
      <c r="J392" t="s">
        <v>668</v>
      </c>
      <c r="K392" t="s">
        <v>17</v>
      </c>
      <c r="L392">
        <v>3</v>
      </c>
      <c r="M392" t="s">
        <v>1687</v>
      </c>
      <c r="N392" t="s">
        <v>1674</v>
      </c>
      <c r="O392">
        <v>5</v>
      </c>
      <c r="P392" t="s">
        <v>1696</v>
      </c>
    </row>
    <row r="393" spans="1:16" x14ac:dyDescent="0.3">
      <c r="A393" t="s">
        <v>1124</v>
      </c>
      <c r="B393" s="1">
        <v>45711</v>
      </c>
      <c r="C393" s="2">
        <v>0.70208333333333328</v>
      </c>
      <c r="D393" t="s">
        <v>1125</v>
      </c>
      <c r="E393" t="s">
        <v>45</v>
      </c>
      <c r="F393" t="s">
        <v>357</v>
      </c>
      <c r="G393">
        <v>3</v>
      </c>
      <c r="H393">
        <v>42.41</v>
      </c>
      <c r="I393">
        <v>127.23</v>
      </c>
      <c r="J393" t="s">
        <v>668</v>
      </c>
      <c r="K393" t="s">
        <v>17</v>
      </c>
      <c r="L393">
        <v>4</v>
      </c>
      <c r="M393" t="s">
        <v>1687</v>
      </c>
      <c r="N393" t="s">
        <v>1674</v>
      </c>
      <c r="O393">
        <v>2</v>
      </c>
      <c r="P393" t="s">
        <v>1692</v>
      </c>
    </row>
    <row r="394" spans="1:16" x14ac:dyDescent="0.3">
      <c r="A394" t="s">
        <v>1126</v>
      </c>
      <c r="B394" s="1">
        <v>45809</v>
      </c>
      <c r="C394" s="2">
        <v>0.64166666666666672</v>
      </c>
      <c r="D394" t="s">
        <v>1127</v>
      </c>
      <c r="E394" t="s">
        <v>14</v>
      </c>
      <c r="F394" t="s">
        <v>276</v>
      </c>
      <c r="G394">
        <v>1</v>
      </c>
      <c r="H394">
        <v>36.71</v>
      </c>
      <c r="I394">
        <v>36.71</v>
      </c>
      <c r="J394" t="s">
        <v>668</v>
      </c>
      <c r="K394" t="s">
        <v>17</v>
      </c>
      <c r="L394">
        <v>1</v>
      </c>
      <c r="M394" t="s">
        <v>1677</v>
      </c>
      <c r="N394" t="s">
        <v>1674</v>
      </c>
      <c r="O394">
        <v>6</v>
      </c>
      <c r="P394" t="s">
        <v>1697</v>
      </c>
    </row>
    <row r="395" spans="1:16" x14ac:dyDescent="0.3">
      <c r="A395" t="s">
        <v>1128</v>
      </c>
      <c r="B395" s="1">
        <v>45725</v>
      </c>
      <c r="C395" s="2">
        <v>0.82986111111111116</v>
      </c>
      <c r="D395" t="s">
        <v>1129</v>
      </c>
      <c r="E395" t="s">
        <v>20</v>
      </c>
      <c r="F395" t="s">
        <v>1130</v>
      </c>
      <c r="G395">
        <v>4</v>
      </c>
      <c r="H395">
        <v>28.75</v>
      </c>
      <c r="I395">
        <v>115</v>
      </c>
      <c r="J395" t="s">
        <v>668</v>
      </c>
      <c r="K395" t="s">
        <v>17</v>
      </c>
      <c r="L395">
        <v>4</v>
      </c>
      <c r="M395" t="s">
        <v>1683</v>
      </c>
      <c r="N395" t="s">
        <v>1674</v>
      </c>
      <c r="O395">
        <v>3</v>
      </c>
      <c r="P395" t="s">
        <v>1693</v>
      </c>
    </row>
    <row r="396" spans="1:16" x14ac:dyDescent="0.3">
      <c r="A396" t="s">
        <v>1131</v>
      </c>
      <c r="B396" s="1">
        <v>45710</v>
      </c>
      <c r="C396" s="2">
        <v>0.92569444444444449</v>
      </c>
      <c r="D396" t="s">
        <v>1132</v>
      </c>
      <c r="E396" t="s">
        <v>31</v>
      </c>
      <c r="F396" t="s">
        <v>480</v>
      </c>
      <c r="G396">
        <v>1</v>
      </c>
      <c r="H396">
        <v>30.65</v>
      </c>
      <c r="I396">
        <v>30.65</v>
      </c>
      <c r="J396" t="s">
        <v>668</v>
      </c>
      <c r="K396" t="s">
        <v>17</v>
      </c>
      <c r="L396">
        <v>5</v>
      </c>
      <c r="M396" t="s">
        <v>1680</v>
      </c>
      <c r="N396" t="s">
        <v>1674</v>
      </c>
      <c r="O396">
        <v>2</v>
      </c>
      <c r="P396" t="s">
        <v>1692</v>
      </c>
    </row>
    <row r="397" spans="1:16" x14ac:dyDescent="0.3">
      <c r="A397" t="s">
        <v>1133</v>
      </c>
      <c r="B397" s="1">
        <v>45828</v>
      </c>
      <c r="C397" s="2">
        <v>0.9868055555555556</v>
      </c>
      <c r="D397" t="s">
        <v>1134</v>
      </c>
      <c r="E397" t="s">
        <v>20</v>
      </c>
      <c r="F397" t="s">
        <v>1135</v>
      </c>
      <c r="G397">
        <v>2</v>
      </c>
      <c r="H397">
        <v>7.33</v>
      </c>
      <c r="I397">
        <v>14.66</v>
      </c>
      <c r="J397" t="s">
        <v>668</v>
      </c>
      <c r="K397" t="s">
        <v>17</v>
      </c>
      <c r="L397">
        <v>2</v>
      </c>
      <c r="M397" t="s">
        <v>1678</v>
      </c>
      <c r="N397" t="s">
        <v>1674</v>
      </c>
      <c r="O397">
        <v>6</v>
      </c>
      <c r="P397" t="s">
        <v>1697</v>
      </c>
    </row>
    <row r="398" spans="1:16" x14ac:dyDescent="0.3">
      <c r="A398" t="s">
        <v>1136</v>
      </c>
      <c r="B398" s="1">
        <v>45787</v>
      </c>
      <c r="C398" s="2">
        <v>0.56944444444444442</v>
      </c>
      <c r="D398" t="s">
        <v>1137</v>
      </c>
      <c r="E398" t="s">
        <v>35</v>
      </c>
      <c r="F398" t="s">
        <v>1138</v>
      </c>
      <c r="G398">
        <v>6</v>
      </c>
      <c r="H398">
        <v>27.55</v>
      </c>
      <c r="I398">
        <v>165.3</v>
      </c>
      <c r="J398" t="s">
        <v>668</v>
      </c>
      <c r="K398" t="s">
        <v>17</v>
      </c>
      <c r="L398">
        <v>4</v>
      </c>
      <c r="M398" t="s">
        <v>1688</v>
      </c>
      <c r="N398" t="s">
        <v>1674</v>
      </c>
      <c r="O398">
        <v>5</v>
      </c>
      <c r="P398" t="s">
        <v>1696</v>
      </c>
    </row>
    <row r="399" spans="1:16" x14ac:dyDescent="0.3">
      <c r="A399" t="s">
        <v>1139</v>
      </c>
      <c r="B399" s="1">
        <v>45688</v>
      </c>
      <c r="C399" s="2">
        <v>0.9145833333333333</v>
      </c>
      <c r="D399" t="s">
        <v>1140</v>
      </c>
      <c r="E399" t="s">
        <v>35</v>
      </c>
      <c r="F399" t="s">
        <v>1141</v>
      </c>
      <c r="G399">
        <v>1</v>
      </c>
      <c r="H399">
        <v>20.079999999999998</v>
      </c>
      <c r="I399">
        <v>20.079999999999998</v>
      </c>
      <c r="J399" t="s">
        <v>668</v>
      </c>
      <c r="K399" t="s">
        <v>17</v>
      </c>
      <c r="L399">
        <v>1</v>
      </c>
      <c r="M399" t="s">
        <v>1686</v>
      </c>
      <c r="N399" t="s">
        <v>1674</v>
      </c>
      <c r="O399">
        <v>1</v>
      </c>
      <c r="P399" t="s">
        <v>1694</v>
      </c>
    </row>
    <row r="400" spans="1:16" x14ac:dyDescent="0.3">
      <c r="A400" t="s">
        <v>1142</v>
      </c>
      <c r="B400" s="1">
        <v>45696</v>
      </c>
      <c r="C400" s="2">
        <v>0.41597222222222224</v>
      </c>
      <c r="D400" t="s">
        <v>1143</v>
      </c>
      <c r="E400" t="s">
        <v>31</v>
      </c>
      <c r="F400" t="s">
        <v>1144</v>
      </c>
      <c r="G400">
        <v>4</v>
      </c>
      <c r="H400">
        <v>6.08</v>
      </c>
      <c r="I400">
        <v>24.32</v>
      </c>
      <c r="J400" t="s">
        <v>668</v>
      </c>
      <c r="K400" t="s">
        <v>17</v>
      </c>
      <c r="L400">
        <v>1</v>
      </c>
      <c r="M400" t="s">
        <v>1679</v>
      </c>
      <c r="N400" t="s">
        <v>1674</v>
      </c>
      <c r="O400">
        <v>2</v>
      </c>
      <c r="P400" t="s">
        <v>1692</v>
      </c>
    </row>
    <row r="401" spans="1:16" x14ac:dyDescent="0.3">
      <c r="A401" t="s">
        <v>1145</v>
      </c>
      <c r="B401" s="1">
        <v>45681</v>
      </c>
      <c r="C401" s="2">
        <v>0.4152777777777778</v>
      </c>
      <c r="D401" t="s">
        <v>1146</v>
      </c>
      <c r="E401" t="s">
        <v>31</v>
      </c>
      <c r="F401" t="s">
        <v>1075</v>
      </c>
      <c r="G401">
        <v>2</v>
      </c>
      <c r="H401">
        <v>45.38</v>
      </c>
      <c r="I401">
        <v>90.76</v>
      </c>
      <c r="J401" t="s">
        <v>668</v>
      </c>
      <c r="K401" t="s">
        <v>17</v>
      </c>
      <c r="L401">
        <v>3</v>
      </c>
      <c r="M401" t="s">
        <v>1679</v>
      </c>
      <c r="N401" t="s">
        <v>1674</v>
      </c>
      <c r="O401">
        <v>1</v>
      </c>
      <c r="P401" t="s">
        <v>1694</v>
      </c>
    </row>
    <row r="402" spans="1:16" x14ac:dyDescent="0.3">
      <c r="A402" t="s">
        <v>1147</v>
      </c>
      <c r="B402" s="1">
        <v>45736</v>
      </c>
      <c r="C402" s="2">
        <v>0.67777777777777781</v>
      </c>
      <c r="D402" t="s">
        <v>1148</v>
      </c>
      <c r="E402" t="s">
        <v>20</v>
      </c>
      <c r="F402" t="s">
        <v>1149</v>
      </c>
      <c r="G402">
        <v>1</v>
      </c>
      <c r="H402">
        <v>9.07</v>
      </c>
      <c r="I402">
        <v>9.07</v>
      </c>
      <c r="J402" t="s">
        <v>668</v>
      </c>
      <c r="K402" t="s">
        <v>17</v>
      </c>
      <c r="L402">
        <v>5</v>
      </c>
      <c r="M402" t="s">
        <v>1687</v>
      </c>
      <c r="N402" t="s">
        <v>1674</v>
      </c>
      <c r="O402">
        <v>3</v>
      </c>
      <c r="P402" t="s">
        <v>1693</v>
      </c>
    </row>
    <row r="403" spans="1:16" x14ac:dyDescent="0.3">
      <c r="A403" t="s">
        <v>1150</v>
      </c>
      <c r="B403" s="1">
        <v>45673</v>
      </c>
      <c r="C403" s="2">
        <v>0.9506944444444444</v>
      </c>
      <c r="D403" t="s">
        <v>1151</v>
      </c>
      <c r="E403" t="s">
        <v>35</v>
      </c>
      <c r="F403" t="s">
        <v>1152</v>
      </c>
      <c r="G403">
        <v>2</v>
      </c>
      <c r="H403">
        <v>10.88</v>
      </c>
      <c r="I403">
        <v>21.76</v>
      </c>
      <c r="J403" t="s">
        <v>668</v>
      </c>
      <c r="K403" t="s">
        <v>17</v>
      </c>
      <c r="L403">
        <v>1</v>
      </c>
      <c r="M403" t="s">
        <v>1680</v>
      </c>
      <c r="N403" t="s">
        <v>1674</v>
      </c>
      <c r="O403">
        <v>1</v>
      </c>
      <c r="P403" t="s">
        <v>1694</v>
      </c>
    </row>
    <row r="404" spans="1:16" x14ac:dyDescent="0.3">
      <c r="A404" t="s">
        <v>1153</v>
      </c>
      <c r="B404" s="1">
        <v>45757</v>
      </c>
      <c r="C404" s="2">
        <v>0.62430555555555556</v>
      </c>
      <c r="D404" t="s">
        <v>1154</v>
      </c>
      <c r="E404" t="s">
        <v>31</v>
      </c>
      <c r="F404" t="s">
        <v>215</v>
      </c>
      <c r="G404">
        <v>2</v>
      </c>
      <c r="H404">
        <v>12.92</v>
      </c>
      <c r="I404">
        <v>25.84</v>
      </c>
      <c r="J404" t="s">
        <v>668</v>
      </c>
      <c r="K404" t="s">
        <v>17</v>
      </c>
      <c r="L404">
        <v>3</v>
      </c>
      <c r="M404" t="s">
        <v>1684</v>
      </c>
      <c r="N404" t="s">
        <v>1674</v>
      </c>
      <c r="O404">
        <v>4</v>
      </c>
      <c r="P404" t="s">
        <v>1695</v>
      </c>
    </row>
    <row r="405" spans="1:16" x14ac:dyDescent="0.3">
      <c r="A405" t="s">
        <v>1155</v>
      </c>
      <c r="B405" s="1">
        <v>45749</v>
      </c>
      <c r="C405" s="2">
        <v>0.52916666666666667</v>
      </c>
      <c r="D405" t="s">
        <v>1156</v>
      </c>
      <c r="E405" t="s">
        <v>35</v>
      </c>
      <c r="F405" t="s">
        <v>498</v>
      </c>
      <c r="G405">
        <v>5</v>
      </c>
      <c r="H405">
        <v>41.65</v>
      </c>
      <c r="I405">
        <v>208.25</v>
      </c>
      <c r="J405" t="s">
        <v>668</v>
      </c>
      <c r="K405" t="s">
        <v>17</v>
      </c>
      <c r="L405">
        <v>3</v>
      </c>
      <c r="M405" t="s">
        <v>1674</v>
      </c>
      <c r="N405" t="s">
        <v>1674</v>
      </c>
      <c r="O405">
        <v>4</v>
      </c>
      <c r="P405" t="s">
        <v>1695</v>
      </c>
    </row>
    <row r="406" spans="1:16" x14ac:dyDescent="0.3">
      <c r="A406" t="s">
        <v>1157</v>
      </c>
      <c r="B406" s="1">
        <v>45690</v>
      </c>
      <c r="C406" s="2">
        <v>0.49027777777777776</v>
      </c>
      <c r="D406" t="s">
        <v>1158</v>
      </c>
      <c r="E406" t="s">
        <v>31</v>
      </c>
      <c r="F406" t="s">
        <v>865</v>
      </c>
      <c r="G406">
        <v>1</v>
      </c>
      <c r="H406">
        <v>47.7</v>
      </c>
      <c r="I406">
        <v>47.7</v>
      </c>
      <c r="J406" t="s">
        <v>668</v>
      </c>
      <c r="K406" t="s">
        <v>17</v>
      </c>
      <c r="L406">
        <v>1</v>
      </c>
      <c r="M406" t="s">
        <v>1675</v>
      </c>
      <c r="N406" t="s">
        <v>1674</v>
      </c>
      <c r="O406">
        <v>2</v>
      </c>
      <c r="P406" t="s">
        <v>1692</v>
      </c>
    </row>
    <row r="407" spans="1:16" x14ac:dyDescent="0.3">
      <c r="A407" t="s">
        <v>1159</v>
      </c>
      <c r="B407" s="1">
        <v>45769</v>
      </c>
      <c r="C407" s="2">
        <v>0.46041666666666664</v>
      </c>
      <c r="D407" t="s">
        <v>1160</v>
      </c>
      <c r="E407" t="s">
        <v>14</v>
      </c>
      <c r="F407" t="s">
        <v>1161</v>
      </c>
      <c r="G407">
        <v>1</v>
      </c>
      <c r="H407">
        <v>19.899999999999999</v>
      </c>
      <c r="I407">
        <v>19.899999999999999</v>
      </c>
      <c r="J407" t="s">
        <v>668</v>
      </c>
      <c r="K407" t="s">
        <v>17</v>
      </c>
      <c r="L407">
        <v>5</v>
      </c>
      <c r="M407" t="s">
        <v>1675</v>
      </c>
      <c r="N407" t="s">
        <v>1674</v>
      </c>
      <c r="O407">
        <v>4</v>
      </c>
      <c r="P407" t="s">
        <v>1695</v>
      </c>
    </row>
    <row r="408" spans="1:16" x14ac:dyDescent="0.3">
      <c r="A408" t="s">
        <v>1162</v>
      </c>
      <c r="B408" s="1">
        <v>45836</v>
      </c>
      <c r="C408" s="2">
        <v>0.79583333333333328</v>
      </c>
      <c r="D408" t="s">
        <v>1163</v>
      </c>
      <c r="E408" t="s">
        <v>31</v>
      </c>
      <c r="F408" t="s">
        <v>1164</v>
      </c>
      <c r="G408">
        <v>1</v>
      </c>
      <c r="H408">
        <v>35.07</v>
      </c>
      <c r="I408">
        <v>35.07</v>
      </c>
      <c r="J408" t="s">
        <v>668</v>
      </c>
      <c r="K408" t="s">
        <v>17</v>
      </c>
      <c r="L408">
        <v>2</v>
      </c>
      <c r="M408" t="s">
        <v>1683</v>
      </c>
      <c r="N408" t="s">
        <v>1674</v>
      </c>
      <c r="O408">
        <v>6</v>
      </c>
      <c r="P408" t="s">
        <v>1697</v>
      </c>
    </row>
    <row r="409" spans="1:16" x14ac:dyDescent="0.3">
      <c r="A409" t="s">
        <v>1165</v>
      </c>
      <c r="B409" s="1">
        <v>45709</v>
      </c>
      <c r="C409" s="2">
        <v>0.94444444444444442</v>
      </c>
      <c r="D409" t="s">
        <v>1166</v>
      </c>
      <c r="E409" t="s">
        <v>24</v>
      </c>
      <c r="F409" t="s">
        <v>1161</v>
      </c>
      <c r="G409">
        <v>2</v>
      </c>
      <c r="H409">
        <v>42.53</v>
      </c>
      <c r="I409">
        <v>85.06</v>
      </c>
      <c r="J409" t="s">
        <v>668</v>
      </c>
      <c r="K409" t="s">
        <v>17</v>
      </c>
      <c r="L409">
        <v>1</v>
      </c>
      <c r="M409" t="s">
        <v>1680</v>
      </c>
      <c r="N409" t="s">
        <v>1674</v>
      </c>
      <c r="O409">
        <v>2</v>
      </c>
      <c r="P409" t="s">
        <v>1692</v>
      </c>
    </row>
    <row r="410" spans="1:16" x14ac:dyDescent="0.3">
      <c r="A410" t="s">
        <v>1167</v>
      </c>
      <c r="B410" s="1">
        <v>45716</v>
      </c>
      <c r="C410" s="2">
        <v>0.47152777777777777</v>
      </c>
      <c r="D410" t="s">
        <v>1168</v>
      </c>
      <c r="E410" t="s">
        <v>24</v>
      </c>
      <c r="F410" t="s">
        <v>1169</v>
      </c>
      <c r="G410">
        <v>6</v>
      </c>
      <c r="H410">
        <v>24.94</v>
      </c>
      <c r="I410">
        <v>149.63999999999999</v>
      </c>
      <c r="J410" t="s">
        <v>668</v>
      </c>
      <c r="K410" t="s">
        <v>17</v>
      </c>
      <c r="L410">
        <v>4</v>
      </c>
      <c r="M410" t="s">
        <v>1675</v>
      </c>
      <c r="N410" t="s">
        <v>1674</v>
      </c>
      <c r="O410">
        <v>2</v>
      </c>
      <c r="P410" t="s">
        <v>1692</v>
      </c>
    </row>
    <row r="411" spans="1:16" x14ac:dyDescent="0.3">
      <c r="A411" t="s">
        <v>1170</v>
      </c>
      <c r="B411" s="1">
        <v>45753</v>
      </c>
      <c r="C411" s="2">
        <v>0.91874999999999996</v>
      </c>
      <c r="D411" t="s">
        <v>1171</v>
      </c>
      <c r="E411" t="s">
        <v>45</v>
      </c>
      <c r="F411" t="s">
        <v>1172</v>
      </c>
      <c r="G411">
        <v>5</v>
      </c>
      <c r="H411">
        <v>40.619999999999997</v>
      </c>
      <c r="I411">
        <v>203.1</v>
      </c>
      <c r="J411" t="s">
        <v>668</v>
      </c>
      <c r="K411" t="s">
        <v>17</v>
      </c>
      <c r="L411">
        <v>5</v>
      </c>
      <c r="M411" t="s">
        <v>1680</v>
      </c>
      <c r="N411" t="s">
        <v>1674</v>
      </c>
      <c r="O411">
        <v>4</v>
      </c>
      <c r="P411" t="s">
        <v>1695</v>
      </c>
    </row>
    <row r="412" spans="1:16" x14ac:dyDescent="0.3">
      <c r="A412" t="s">
        <v>1173</v>
      </c>
      <c r="B412" s="1">
        <v>45691</v>
      </c>
      <c r="C412" s="2">
        <v>0.7993055555555556</v>
      </c>
      <c r="D412" t="s">
        <v>1174</v>
      </c>
      <c r="E412" t="s">
        <v>14</v>
      </c>
      <c r="F412" t="s">
        <v>1175</v>
      </c>
      <c r="G412">
        <v>5</v>
      </c>
      <c r="H412">
        <v>41.04</v>
      </c>
      <c r="I412">
        <v>205.2</v>
      </c>
      <c r="J412" t="s">
        <v>668</v>
      </c>
      <c r="K412" t="s">
        <v>17</v>
      </c>
      <c r="L412">
        <v>3</v>
      </c>
      <c r="M412" t="s">
        <v>1683</v>
      </c>
      <c r="N412" t="s">
        <v>1674</v>
      </c>
      <c r="O412">
        <v>2</v>
      </c>
      <c r="P412" t="s">
        <v>1692</v>
      </c>
    </row>
    <row r="413" spans="1:16" x14ac:dyDescent="0.3">
      <c r="A413" t="s">
        <v>1176</v>
      </c>
      <c r="B413" s="1">
        <v>45706</v>
      </c>
      <c r="C413" s="2">
        <v>0.48125000000000001</v>
      </c>
      <c r="D413" t="s">
        <v>1177</v>
      </c>
      <c r="E413" t="s">
        <v>31</v>
      </c>
      <c r="F413" t="s">
        <v>1178</v>
      </c>
      <c r="G413">
        <v>2</v>
      </c>
      <c r="H413">
        <v>45.49</v>
      </c>
      <c r="I413">
        <v>90.98</v>
      </c>
      <c r="J413" t="s">
        <v>668</v>
      </c>
      <c r="K413" t="s">
        <v>17</v>
      </c>
      <c r="L413">
        <v>3</v>
      </c>
      <c r="M413" t="s">
        <v>1675</v>
      </c>
      <c r="N413" t="s">
        <v>1674</v>
      </c>
      <c r="O413">
        <v>2</v>
      </c>
      <c r="P413" t="s">
        <v>1692</v>
      </c>
    </row>
    <row r="414" spans="1:16" x14ac:dyDescent="0.3">
      <c r="A414" t="s">
        <v>1179</v>
      </c>
      <c r="B414" s="1">
        <v>45833</v>
      </c>
      <c r="C414" s="2">
        <v>0.73611111111111116</v>
      </c>
      <c r="D414" t="s">
        <v>1180</v>
      </c>
      <c r="E414" t="s">
        <v>20</v>
      </c>
      <c r="F414" t="s">
        <v>1181</v>
      </c>
      <c r="G414">
        <v>4</v>
      </c>
      <c r="H414">
        <v>45.79</v>
      </c>
      <c r="I414">
        <v>183.16</v>
      </c>
      <c r="J414" t="s">
        <v>668</v>
      </c>
      <c r="K414" t="s">
        <v>17</v>
      </c>
      <c r="L414">
        <v>3</v>
      </c>
      <c r="M414" t="s">
        <v>1676</v>
      </c>
      <c r="N414" t="s">
        <v>1674</v>
      </c>
      <c r="O414">
        <v>6</v>
      </c>
      <c r="P414" t="s">
        <v>1697</v>
      </c>
    </row>
    <row r="415" spans="1:16" x14ac:dyDescent="0.3">
      <c r="A415" t="s">
        <v>1182</v>
      </c>
      <c r="B415" s="1">
        <v>45676</v>
      </c>
      <c r="C415" s="2">
        <v>0.7055555555555556</v>
      </c>
      <c r="D415" t="s">
        <v>1183</v>
      </c>
      <c r="E415" t="s">
        <v>20</v>
      </c>
      <c r="F415" t="s">
        <v>728</v>
      </c>
      <c r="G415">
        <v>2</v>
      </c>
      <c r="H415">
        <v>27.52</v>
      </c>
      <c r="I415">
        <v>55.04</v>
      </c>
      <c r="J415" t="s">
        <v>668</v>
      </c>
      <c r="K415" t="s">
        <v>17</v>
      </c>
      <c r="L415">
        <v>3</v>
      </c>
      <c r="M415" t="s">
        <v>1687</v>
      </c>
      <c r="N415" t="s">
        <v>1674</v>
      </c>
      <c r="O415">
        <v>1</v>
      </c>
      <c r="P415" t="s">
        <v>1694</v>
      </c>
    </row>
    <row r="416" spans="1:16" x14ac:dyDescent="0.3">
      <c r="A416" t="s">
        <v>1184</v>
      </c>
      <c r="B416" s="1">
        <v>45715</v>
      </c>
      <c r="C416" s="2">
        <v>0.87222222222222223</v>
      </c>
      <c r="D416" t="s">
        <v>1185</v>
      </c>
      <c r="E416" t="s">
        <v>45</v>
      </c>
      <c r="F416" t="s">
        <v>1181</v>
      </c>
      <c r="G416">
        <v>3</v>
      </c>
      <c r="H416">
        <v>19.04</v>
      </c>
      <c r="I416">
        <v>57.12</v>
      </c>
      <c r="J416" t="s">
        <v>668</v>
      </c>
      <c r="K416" t="s">
        <v>17</v>
      </c>
      <c r="L416">
        <v>5</v>
      </c>
      <c r="M416" t="s">
        <v>1681</v>
      </c>
      <c r="N416" t="s">
        <v>1674</v>
      </c>
      <c r="O416">
        <v>2</v>
      </c>
      <c r="P416" t="s">
        <v>1692</v>
      </c>
    </row>
    <row r="417" spans="1:16" x14ac:dyDescent="0.3">
      <c r="A417" t="s">
        <v>1186</v>
      </c>
      <c r="B417" s="1">
        <v>45736</v>
      </c>
      <c r="C417" s="2">
        <v>0.46111111111111114</v>
      </c>
      <c r="D417" t="s">
        <v>1187</v>
      </c>
      <c r="E417" t="s">
        <v>24</v>
      </c>
      <c r="F417" t="s">
        <v>1188</v>
      </c>
      <c r="G417">
        <v>1</v>
      </c>
      <c r="H417">
        <v>18.420000000000002</v>
      </c>
      <c r="I417">
        <v>18.420000000000002</v>
      </c>
      <c r="J417" t="s">
        <v>668</v>
      </c>
      <c r="K417" t="s">
        <v>17</v>
      </c>
      <c r="L417">
        <v>5</v>
      </c>
      <c r="M417" t="s">
        <v>1675</v>
      </c>
      <c r="N417" t="s">
        <v>1674</v>
      </c>
      <c r="O417">
        <v>3</v>
      </c>
      <c r="P417" t="s">
        <v>1693</v>
      </c>
    </row>
    <row r="418" spans="1:16" x14ac:dyDescent="0.3">
      <c r="A418" t="s">
        <v>1189</v>
      </c>
      <c r="B418" s="1">
        <v>45782</v>
      </c>
      <c r="C418" s="2">
        <v>0.45555555555555555</v>
      </c>
      <c r="D418" t="s">
        <v>1190</v>
      </c>
      <c r="E418" t="s">
        <v>45</v>
      </c>
      <c r="F418" t="s">
        <v>1172</v>
      </c>
      <c r="G418">
        <v>4</v>
      </c>
      <c r="H418">
        <v>24.83</v>
      </c>
      <c r="I418">
        <v>99.32</v>
      </c>
      <c r="J418" t="s">
        <v>668</v>
      </c>
      <c r="K418" t="s">
        <v>17</v>
      </c>
      <c r="L418">
        <v>3</v>
      </c>
      <c r="M418" t="s">
        <v>1685</v>
      </c>
      <c r="N418" t="s">
        <v>1674</v>
      </c>
      <c r="O418">
        <v>5</v>
      </c>
      <c r="P418" t="s">
        <v>1696</v>
      </c>
    </row>
    <row r="419" spans="1:16" x14ac:dyDescent="0.3">
      <c r="A419" t="s">
        <v>1191</v>
      </c>
      <c r="B419" s="1">
        <v>45658</v>
      </c>
      <c r="C419" s="2">
        <v>0.92013888888888884</v>
      </c>
      <c r="D419" t="s">
        <v>1192</v>
      </c>
      <c r="E419" t="s">
        <v>20</v>
      </c>
      <c r="F419" t="s">
        <v>1193</v>
      </c>
      <c r="G419">
        <v>5</v>
      </c>
      <c r="H419">
        <v>48.34</v>
      </c>
      <c r="I419">
        <v>241.7</v>
      </c>
      <c r="J419" t="s">
        <v>668</v>
      </c>
      <c r="K419" t="s">
        <v>17</v>
      </c>
      <c r="L419">
        <v>5</v>
      </c>
      <c r="M419" t="s">
        <v>1680</v>
      </c>
      <c r="N419" t="s">
        <v>1674</v>
      </c>
      <c r="O419">
        <v>1</v>
      </c>
      <c r="P419" t="s">
        <v>1694</v>
      </c>
    </row>
    <row r="420" spans="1:16" x14ac:dyDescent="0.3">
      <c r="A420" t="s">
        <v>1194</v>
      </c>
      <c r="B420" s="1">
        <v>45687</v>
      </c>
      <c r="C420" s="2">
        <v>0.45</v>
      </c>
      <c r="D420" t="s">
        <v>1195</v>
      </c>
      <c r="E420" t="s">
        <v>24</v>
      </c>
      <c r="F420" t="s">
        <v>1038</v>
      </c>
      <c r="G420">
        <v>6</v>
      </c>
      <c r="H420">
        <v>14.98</v>
      </c>
      <c r="I420">
        <v>89.88</v>
      </c>
      <c r="J420" t="s">
        <v>668</v>
      </c>
      <c r="K420" t="s">
        <v>17</v>
      </c>
      <c r="L420">
        <v>3</v>
      </c>
      <c r="M420" t="s">
        <v>1685</v>
      </c>
      <c r="N420" t="s">
        <v>1674</v>
      </c>
      <c r="O420">
        <v>1</v>
      </c>
      <c r="P420" t="s">
        <v>1694</v>
      </c>
    </row>
    <row r="421" spans="1:16" x14ac:dyDescent="0.3">
      <c r="A421" t="s">
        <v>1196</v>
      </c>
      <c r="B421" s="1">
        <v>45786</v>
      </c>
      <c r="C421" s="2">
        <v>0.73888888888888893</v>
      </c>
      <c r="D421" t="s">
        <v>1197</v>
      </c>
      <c r="E421" t="s">
        <v>45</v>
      </c>
      <c r="F421" t="s">
        <v>1198</v>
      </c>
      <c r="G421">
        <v>6</v>
      </c>
      <c r="H421">
        <v>19.510000000000002</v>
      </c>
      <c r="I421">
        <v>117.06</v>
      </c>
      <c r="J421" t="s">
        <v>668</v>
      </c>
      <c r="K421" t="s">
        <v>17</v>
      </c>
      <c r="L421">
        <v>4</v>
      </c>
      <c r="M421" t="s">
        <v>1676</v>
      </c>
      <c r="N421" t="s">
        <v>1674</v>
      </c>
      <c r="O421">
        <v>5</v>
      </c>
      <c r="P421" t="s">
        <v>1696</v>
      </c>
    </row>
    <row r="422" spans="1:16" x14ac:dyDescent="0.3">
      <c r="A422" t="s">
        <v>1199</v>
      </c>
      <c r="B422" s="1">
        <v>45714</v>
      </c>
      <c r="C422" s="2">
        <v>0.48125000000000001</v>
      </c>
      <c r="D422" t="s">
        <v>1200</v>
      </c>
      <c r="E422" t="s">
        <v>14</v>
      </c>
      <c r="F422" t="s">
        <v>1201</v>
      </c>
      <c r="G422">
        <v>1</v>
      </c>
      <c r="H422">
        <v>40.380000000000003</v>
      </c>
      <c r="I422">
        <v>40.380000000000003</v>
      </c>
      <c r="J422" t="s">
        <v>668</v>
      </c>
      <c r="K422" t="s">
        <v>17</v>
      </c>
      <c r="L422">
        <v>5</v>
      </c>
      <c r="M422" t="s">
        <v>1675</v>
      </c>
      <c r="N422" t="s">
        <v>1674</v>
      </c>
      <c r="O422">
        <v>2</v>
      </c>
      <c r="P422" t="s">
        <v>1692</v>
      </c>
    </row>
    <row r="423" spans="1:16" x14ac:dyDescent="0.3">
      <c r="A423" t="s">
        <v>1202</v>
      </c>
      <c r="B423" s="1">
        <v>45821</v>
      </c>
      <c r="C423" s="2">
        <v>0.41736111111111113</v>
      </c>
      <c r="D423" t="s">
        <v>1203</v>
      </c>
      <c r="E423" t="s">
        <v>14</v>
      </c>
      <c r="F423" t="s">
        <v>1204</v>
      </c>
      <c r="G423">
        <v>6</v>
      </c>
      <c r="H423">
        <v>17.38</v>
      </c>
      <c r="I423">
        <v>104.28</v>
      </c>
      <c r="J423" t="s">
        <v>1205</v>
      </c>
      <c r="K423" t="s">
        <v>17</v>
      </c>
      <c r="L423">
        <v>1</v>
      </c>
      <c r="M423" t="s">
        <v>1685</v>
      </c>
      <c r="N423" t="s">
        <v>1674</v>
      </c>
      <c r="O423">
        <v>6</v>
      </c>
      <c r="P423" t="s">
        <v>1697</v>
      </c>
    </row>
    <row r="424" spans="1:16" x14ac:dyDescent="0.3">
      <c r="A424" t="s">
        <v>1206</v>
      </c>
      <c r="B424" s="1">
        <v>45831</v>
      </c>
      <c r="C424" s="2">
        <v>0.87291666666666667</v>
      </c>
      <c r="D424" t="s">
        <v>1207</v>
      </c>
      <c r="E424" t="s">
        <v>35</v>
      </c>
      <c r="F424" t="s">
        <v>1208</v>
      </c>
      <c r="G424">
        <v>5</v>
      </c>
      <c r="H424">
        <v>8.91</v>
      </c>
      <c r="I424">
        <v>44.55</v>
      </c>
      <c r="J424" t="s">
        <v>1205</v>
      </c>
      <c r="K424" t="s">
        <v>481</v>
      </c>
      <c r="L424">
        <v>1</v>
      </c>
      <c r="M424" t="s">
        <v>1681</v>
      </c>
      <c r="N424" t="s">
        <v>1674</v>
      </c>
      <c r="O424">
        <v>6</v>
      </c>
      <c r="P424" t="s">
        <v>1697</v>
      </c>
    </row>
    <row r="425" spans="1:16" x14ac:dyDescent="0.3">
      <c r="A425" t="s">
        <v>1209</v>
      </c>
      <c r="B425" s="1">
        <v>45765</v>
      </c>
      <c r="C425" s="2">
        <v>0.51944444444444449</v>
      </c>
      <c r="D425" t="s">
        <v>1210</v>
      </c>
      <c r="E425" t="s">
        <v>45</v>
      </c>
      <c r="F425" t="s">
        <v>1211</v>
      </c>
      <c r="G425">
        <v>5</v>
      </c>
      <c r="H425">
        <v>17.52</v>
      </c>
      <c r="I425">
        <v>87.6</v>
      </c>
      <c r="J425" t="s">
        <v>1205</v>
      </c>
      <c r="K425" t="s">
        <v>17</v>
      </c>
      <c r="L425">
        <v>4</v>
      </c>
      <c r="M425" t="s">
        <v>1674</v>
      </c>
      <c r="N425" t="s">
        <v>1674</v>
      </c>
      <c r="O425">
        <v>4</v>
      </c>
      <c r="P425" t="s">
        <v>1695</v>
      </c>
    </row>
    <row r="426" spans="1:16" x14ac:dyDescent="0.3">
      <c r="A426" t="s">
        <v>1212</v>
      </c>
      <c r="B426" s="1">
        <v>45745</v>
      </c>
      <c r="C426" s="2">
        <v>0.54791666666666672</v>
      </c>
      <c r="D426" t="s">
        <v>1213</v>
      </c>
      <c r="E426" t="s">
        <v>24</v>
      </c>
      <c r="F426" t="s">
        <v>492</v>
      </c>
      <c r="G426">
        <v>2</v>
      </c>
      <c r="H426">
        <v>48.07</v>
      </c>
      <c r="I426">
        <v>96.14</v>
      </c>
      <c r="J426" t="s">
        <v>1205</v>
      </c>
      <c r="K426" t="s">
        <v>481</v>
      </c>
      <c r="L426">
        <v>4</v>
      </c>
      <c r="M426" t="s">
        <v>1688</v>
      </c>
      <c r="N426" t="s">
        <v>1674</v>
      </c>
      <c r="O426">
        <v>3</v>
      </c>
      <c r="P426" t="s">
        <v>1693</v>
      </c>
    </row>
    <row r="427" spans="1:16" x14ac:dyDescent="0.3">
      <c r="A427" t="s">
        <v>1214</v>
      </c>
      <c r="B427" s="1">
        <v>45707</v>
      </c>
      <c r="C427" s="2">
        <v>0.83611111111111114</v>
      </c>
      <c r="D427" t="s">
        <v>1215</v>
      </c>
      <c r="E427" t="s">
        <v>24</v>
      </c>
      <c r="F427" t="s">
        <v>738</v>
      </c>
      <c r="G427">
        <v>1</v>
      </c>
      <c r="H427">
        <v>34.76</v>
      </c>
      <c r="I427">
        <v>34.76</v>
      </c>
      <c r="J427" t="s">
        <v>1205</v>
      </c>
      <c r="K427" t="s">
        <v>481</v>
      </c>
      <c r="L427">
        <v>1</v>
      </c>
      <c r="M427" t="s">
        <v>1681</v>
      </c>
      <c r="N427" t="s">
        <v>1674</v>
      </c>
      <c r="O427">
        <v>2</v>
      </c>
      <c r="P427" t="s">
        <v>1692</v>
      </c>
    </row>
    <row r="428" spans="1:16" x14ac:dyDescent="0.3">
      <c r="A428" t="s">
        <v>1216</v>
      </c>
      <c r="B428" s="1">
        <v>45674</v>
      </c>
      <c r="C428" s="2">
        <v>0.54027777777777775</v>
      </c>
      <c r="D428" t="s">
        <v>1217</v>
      </c>
      <c r="E428" t="s">
        <v>24</v>
      </c>
      <c r="F428" t="s">
        <v>1218</v>
      </c>
      <c r="G428">
        <v>5</v>
      </c>
      <c r="H428">
        <v>44.44</v>
      </c>
      <c r="I428">
        <v>222.2</v>
      </c>
      <c r="J428" t="s">
        <v>1205</v>
      </c>
      <c r="K428" t="s">
        <v>17</v>
      </c>
      <c r="L428">
        <v>4</v>
      </c>
      <c r="M428" t="s">
        <v>1674</v>
      </c>
      <c r="N428" t="s">
        <v>1674</v>
      </c>
      <c r="O428">
        <v>1</v>
      </c>
      <c r="P428" t="s">
        <v>1694</v>
      </c>
    </row>
    <row r="429" spans="1:16" x14ac:dyDescent="0.3">
      <c r="A429" t="s">
        <v>1219</v>
      </c>
      <c r="B429" s="1">
        <v>45759</v>
      </c>
      <c r="C429" s="2">
        <v>0.99861111111111112</v>
      </c>
      <c r="D429" t="s">
        <v>1220</v>
      </c>
      <c r="E429" t="s">
        <v>24</v>
      </c>
      <c r="F429" t="s">
        <v>1221</v>
      </c>
      <c r="G429">
        <v>6</v>
      </c>
      <c r="H429">
        <v>25.65</v>
      </c>
      <c r="I429">
        <v>153.9</v>
      </c>
      <c r="J429" t="s">
        <v>1205</v>
      </c>
      <c r="K429" t="s">
        <v>481</v>
      </c>
      <c r="L429">
        <v>5</v>
      </c>
      <c r="M429" t="s">
        <v>1678</v>
      </c>
      <c r="N429" t="s">
        <v>1674</v>
      </c>
      <c r="O429">
        <v>4</v>
      </c>
      <c r="P429" t="s">
        <v>1695</v>
      </c>
    </row>
    <row r="430" spans="1:16" x14ac:dyDescent="0.3">
      <c r="A430" t="s">
        <v>1222</v>
      </c>
      <c r="B430" s="1">
        <v>45693</v>
      </c>
      <c r="C430" s="2">
        <v>0.72986111111111107</v>
      </c>
      <c r="D430" t="s">
        <v>1223</v>
      </c>
      <c r="E430" t="s">
        <v>45</v>
      </c>
      <c r="F430" t="s">
        <v>1224</v>
      </c>
      <c r="G430">
        <v>1</v>
      </c>
      <c r="H430">
        <v>39.01</v>
      </c>
      <c r="I430">
        <v>39.01</v>
      </c>
      <c r="J430" t="s">
        <v>1205</v>
      </c>
      <c r="K430" t="s">
        <v>17</v>
      </c>
      <c r="L430">
        <v>2</v>
      </c>
      <c r="M430" t="s">
        <v>1676</v>
      </c>
      <c r="N430" t="s">
        <v>1674</v>
      </c>
      <c r="O430">
        <v>2</v>
      </c>
      <c r="P430" t="s">
        <v>1692</v>
      </c>
    </row>
    <row r="431" spans="1:16" x14ac:dyDescent="0.3">
      <c r="A431" t="s">
        <v>1225</v>
      </c>
      <c r="B431" s="1">
        <v>45708</v>
      </c>
      <c r="C431" s="2">
        <v>0.47430555555555554</v>
      </c>
      <c r="D431" t="s">
        <v>1226</v>
      </c>
      <c r="E431" t="s">
        <v>31</v>
      </c>
      <c r="F431" t="s">
        <v>1227</v>
      </c>
      <c r="G431">
        <v>2</v>
      </c>
      <c r="H431">
        <v>29.27</v>
      </c>
      <c r="I431">
        <v>58.54</v>
      </c>
      <c r="J431" t="s">
        <v>1205</v>
      </c>
      <c r="K431" t="s">
        <v>17</v>
      </c>
      <c r="L431">
        <v>3</v>
      </c>
      <c r="M431" t="s">
        <v>1675</v>
      </c>
      <c r="N431" t="s">
        <v>1674</v>
      </c>
      <c r="O431">
        <v>2</v>
      </c>
      <c r="P431" t="s">
        <v>1692</v>
      </c>
    </row>
    <row r="432" spans="1:16" x14ac:dyDescent="0.3">
      <c r="A432" t="s">
        <v>1228</v>
      </c>
      <c r="B432" s="1">
        <v>45783</v>
      </c>
      <c r="C432" s="2">
        <v>0.37986111111111109</v>
      </c>
      <c r="D432" t="s">
        <v>1229</v>
      </c>
      <c r="E432" t="s">
        <v>24</v>
      </c>
      <c r="F432" t="s">
        <v>746</v>
      </c>
      <c r="G432">
        <v>3</v>
      </c>
      <c r="H432">
        <v>44.54</v>
      </c>
      <c r="I432">
        <v>133.62</v>
      </c>
      <c r="J432" t="s">
        <v>1205</v>
      </c>
      <c r="K432" t="s">
        <v>481</v>
      </c>
      <c r="L432">
        <v>2</v>
      </c>
      <c r="M432" t="s">
        <v>1679</v>
      </c>
      <c r="N432" t="s">
        <v>1674</v>
      </c>
      <c r="O432">
        <v>5</v>
      </c>
      <c r="P432" t="s">
        <v>1696</v>
      </c>
    </row>
    <row r="433" spans="1:16" x14ac:dyDescent="0.3">
      <c r="A433" t="s">
        <v>1230</v>
      </c>
      <c r="B433" s="1">
        <v>45790</v>
      </c>
      <c r="C433" s="2">
        <v>0.67152777777777772</v>
      </c>
      <c r="D433" t="s">
        <v>1231</v>
      </c>
      <c r="E433" t="s">
        <v>24</v>
      </c>
      <c r="F433" t="s">
        <v>550</v>
      </c>
      <c r="G433">
        <v>2</v>
      </c>
      <c r="H433">
        <v>15.11</v>
      </c>
      <c r="I433">
        <v>30.22</v>
      </c>
      <c r="J433" t="s">
        <v>1205</v>
      </c>
      <c r="K433" t="s">
        <v>17</v>
      </c>
      <c r="L433">
        <v>5</v>
      </c>
      <c r="M433" t="s">
        <v>1687</v>
      </c>
      <c r="N433" t="s">
        <v>1674</v>
      </c>
      <c r="O433">
        <v>5</v>
      </c>
      <c r="P433" t="s">
        <v>1696</v>
      </c>
    </row>
    <row r="434" spans="1:16" x14ac:dyDescent="0.3">
      <c r="A434" t="s">
        <v>1232</v>
      </c>
      <c r="B434" s="1">
        <v>45716</v>
      </c>
      <c r="C434" s="2">
        <v>0.75972222222222219</v>
      </c>
      <c r="D434" t="s">
        <v>1233</v>
      </c>
      <c r="E434" t="s">
        <v>20</v>
      </c>
      <c r="F434" t="s">
        <v>393</v>
      </c>
      <c r="G434">
        <v>1</v>
      </c>
      <c r="H434">
        <v>8.19</v>
      </c>
      <c r="I434">
        <v>8.19</v>
      </c>
      <c r="J434" t="s">
        <v>1205</v>
      </c>
      <c r="K434" t="s">
        <v>481</v>
      </c>
      <c r="L434">
        <v>1</v>
      </c>
      <c r="M434" t="s">
        <v>1682</v>
      </c>
      <c r="N434" t="s">
        <v>1674</v>
      </c>
      <c r="O434">
        <v>2</v>
      </c>
      <c r="P434" t="s">
        <v>1692</v>
      </c>
    </row>
    <row r="435" spans="1:16" x14ac:dyDescent="0.3">
      <c r="A435" t="s">
        <v>1234</v>
      </c>
      <c r="B435" s="1">
        <v>45718</v>
      </c>
      <c r="C435" s="2">
        <v>0.47638888888888886</v>
      </c>
      <c r="D435" t="s">
        <v>1235</v>
      </c>
      <c r="E435" t="s">
        <v>35</v>
      </c>
      <c r="F435" t="s">
        <v>1236</v>
      </c>
      <c r="G435">
        <v>4</v>
      </c>
      <c r="H435">
        <v>26.66</v>
      </c>
      <c r="I435">
        <v>106.64</v>
      </c>
      <c r="J435" t="s">
        <v>1205</v>
      </c>
      <c r="K435" t="s">
        <v>481</v>
      </c>
      <c r="L435">
        <v>4</v>
      </c>
      <c r="M435" t="s">
        <v>1675</v>
      </c>
      <c r="N435" t="s">
        <v>1674</v>
      </c>
      <c r="O435">
        <v>3</v>
      </c>
      <c r="P435" t="s">
        <v>1693</v>
      </c>
    </row>
    <row r="436" spans="1:16" x14ac:dyDescent="0.3">
      <c r="A436" t="s">
        <v>1237</v>
      </c>
      <c r="B436" s="1">
        <v>45738</v>
      </c>
      <c r="C436" s="2">
        <v>0.37708333333333333</v>
      </c>
      <c r="D436" t="s">
        <v>1238</v>
      </c>
      <c r="E436" t="s">
        <v>31</v>
      </c>
      <c r="F436" t="s">
        <v>689</v>
      </c>
      <c r="G436">
        <v>5</v>
      </c>
      <c r="H436">
        <v>26.46</v>
      </c>
      <c r="I436">
        <v>132.30000000000001</v>
      </c>
      <c r="J436" t="s">
        <v>1205</v>
      </c>
      <c r="K436" t="s">
        <v>481</v>
      </c>
      <c r="L436">
        <v>5</v>
      </c>
      <c r="M436" t="s">
        <v>1679</v>
      </c>
      <c r="N436" t="s">
        <v>1674</v>
      </c>
      <c r="O436">
        <v>3</v>
      </c>
      <c r="P436" t="s">
        <v>1693</v>
      </c>
    </row>
    <row r="437" spans="1:16" x14ac:dyDescent="0.3">
      <c r="A437" t="s">
        <v>1239</v>
      </c>
      <c r="B437" s="1">
        <v>45678</v>
      </c>
      <c r="C437" s="2">
        <v>0.9243055555555556</v>
      </c>
      <c r="D437" t="s">
        <v>1240</v>
      </c>
      <c r="E437" t="s">
        <v>20</v>
      </c>
      <c r="F437" t="s">
        <v>1241</v>
      </c>
      <c r="G437">
        <v>1</v>
      </c>
      <c r="H437">
        <v>31.78</v>
      </c>
      <c r="I437">
        <v>31.78</v>
      </c>
      <c r="J437" t="s">
        <v>1205</v>
      </c>
      <c r="K437" t="s">
        <v>36</v>
      </c>
      <c r="L437">
        <v>1</v>
      </c>
      <c r="M437" t="s">
        <v>1680</v>
      </c>
      <c r="N437" t="s">
        <v>1674</v>
      </c>
      <c r="O437">
        <v>1</v>
      </c>
      <c r="P437" t="s">
        <v>1694</v>
      </c>
    </row>
    <row r="438" spans="1:16" x14ac:dyDescent="0.3">
      <c r="A438" t="s">
        <v>1242</v>
      </c>
      <c r="B438" s="1">
        <v>45759</v>
      </c>
      <c r="C438" s="2">
        <v>0.48749999999999999</v>
      </c>
      <c r="D438" t="s">
        <v>1243</v>
      </c>
      <c r="E438" t="s">
        <v>24</v>
      </c>
      <c r="F438" t="s">
        <v>1244</v>
      </c>
      <c r="G438">
        <v>6</v>
      </c>
      <c r="H438">
        <v>18.5</v>
      </c>
      <c r="I438">
        <v>111</v>
      </c>
      <c r="J438" t="s">
        <v>1205</v>
      </c>
      <c r="K438" t="s">
        <v>481</v>
      </c>
      <c r="L438">
        <v>4</v>
      </c>
      <c r="M438" t="s">
        <v>1675</v>
      </c>
      <c r="N438" t="s">
        <v>1674</v>
      </c>
      <c r="O438">
        <v>4</v>
      </c>
      <c r="P438" t="s">
        <v>1695</v>
      </c>
    </row>
    <row r="439" spans="1:16" x14ac:dyDescent="0.3">
      <c r="A439" t="s">
        <v>1245</v>
      </c>
      <c r="B439" s="1">
        <v>45671</v>
      </c>
      <c r="C439" s="2">
        <v>0.44444444444444442</v>
      </c>
      <c r="D439" t="s">
        <v>1246</v>
      </c>
      <c r="E439" t="s">
        <v>45</v>
      </c>
      <c r="F439" t="s">
        <v>849</v>
      </c>
      <c r="G439">
        <v>4</v>
      </c>
      <c r="H439">
        <v>42.32</v>
      </c>
      <c r="I439">
        <v>169.28</v>
      </c>
      <c r="J439" t="s">
        <v>1205</v>
      </c>
      <c r="K439" t="s">
        <v>36</v>
      </c>
      <c r="L439">
        <v>2</v>
      </c>
      <c r="M439" t="s">
        <v>1685</v>
      </c>
      <c r="N439" t="s">
        <v>1674</v>
      </c>
      <c r="O439">
        <v>1</v>
      </c>
      <c r="P439" t="s">
        <v>1694</v>
      </c>
    </row>
    <row r="440" spans="1:16" x14ac:dyDescent="0.3">
      <c r="A440" t="s">
        <v>1247</v>
      </c>
      <c r="B440" s="1">
        <v>45686</v>
      </c>
      <c r="C440" s="2">
        <v>0.45555555555555555</v>
      </c>
      <c r="D440" t="s">
        <v>1248</v>
      </c>
      <c r="E440" t="s">
        <v>31</v>
      </c>
      <c r="F440" t="s">
        <v>1249</v>
      </c>
      <c r="G440">
        <v>6</v>
      </c>
      <c r="H440">
        <v>45.68</v>
      </c>
      <c r="I440">
        <v>274.08</v>
      </c>
      <c r="J440" t="s">
        <v>1205</v>
      </c>
      <c r="K440" t="s">
        <v>36</v>
      </c>
      <c r="L440">
        <v>5</v>
      </c>
      <c r="M440" t="s">
        <v>1685</v>
      </c>
      <c r="N440" t="s">
        <v>1674</v>
      </c>
      <c r="O440">
        <v>1</v>
      </c>
      <c r="P440" t="s">
        <v>1694</v>
      </c>
    </row>
    <row r="441" spans="1:16" x14ac:dyDescent="0.3">
      <c r="A441" t="s">
        <v>1250</v>
      </c>
      <c r="B441" s="1">
        <v>45799</v>
      </c>
      <c r="C441" s="2">
        <v>0.47708333333333336</v>
      </c>
      <c r="D441" t="s">
        <v>1251</v>
      </c>
      <c r="E441" t="s">
        <v>24</v>
      </c>
      <c r="F441" t="s">
        <v>1252</v>
      </c>
      <c r="G441">
        <v>2</v>
      </c>
      <c r="H441">
        <v>6.88</v>
      </c>
      <c r="I441">
        <v>13.76</v>
      </c>
      <c r="J441" t="s">
        <v>1205</v>
      </c>
      <c r="K441" t="s">
        <v>36</v>
      </c>
      <c r="L441">
        <v>2</v>
      </c>
      <c r="M441" t="s">
        <v>1675</v>
      </c>
      <c r="N441" t="s">
        <v>1674</v>
      </c>
      <c r="O441">
        <v>5</v>
      </c>
      <c r="P441" t="s">
        <v>1696</v>
      </c>
    </row>
    <row r="442" spans="1:16" x14ac:dyDescent="0.3">
      <c r="A442" t="s">
        <v>1253</v>
      </c>
      <c r="B442" s="1">
        <v>45718</v>
      </c>
      <c r="C442" s="2">
        <v>0.92361111111111116</v>
      </c>
      <c r="D442" t="s">
        <v>1254</v>
      </c>
      <c r="E442" t="s">
        <v>45</v>
      </c>
      <c r="F442" t="s">
        <v>1255</v>
      </c>
      <c r="G442">
        <v>2</v>
      </c>
      <c r="H442">
        <v>44.66</v>
      </c>
      <c r="I442">
        <v>89.32</v>
      </c>
      <c r="J442" t="s">
        <v>1205</v>
      </c>
      <c r="K442" t="s">
        <v>17</v>
      </c>
      <c r="L442">
        <v>3</v>
      </c>
      <c r="M442" t="s">
        <v>1680</v>
      </c>
      <c r="N442" t="s">
        <v>1674</v>
      </c>
      <c r="O442">
        <v>3</v>
      </c>
      <c r="P442" t="s">
        <v>1693</v>
      </c>
    </row>
    <row r="443" spans="1:16" x14ac:dyDescent="0.3">
      <c r="A443" t="s">
        <v>1256</v>
      </c>
      <c r="B443" s="1">
        <v>45763</v>
      </c>
      <c r="C443" s="2">
        <v>0.90416666666666667</v>
      </c>
      <c r="D443" t="s">
        <v>1257</v>
      </c>
      <c r="E443" t="s">
        <v>24</v>
      </c>
      <c r="F443" t="s">
        <v>1258</v>
      </c>
      <c r="G443">
        <v>6</v>
      </c>
      <c r="H443">
        <v>41.48</v>
      </c>
      <c r="I443">
        <v>248.88</v>
      </c>
      <c r="J443" t="s">
        <v>1205</v>
      </c>
      <c r="K443" t="s">
        <v>17</v>
      </c>
      <c r="L443">
        <v>1</v>
      </c>
      <c r="M443" t="s">
        <v>1686</v>
      </c>
      <c r="N443" t="s">
        <v>1674</v>
      </c>
      <c r="O443">
        <v>4</v>
      </c>
      <c r="P443" t="s">
        <v>1695</v>
      </c>
    </row>
    <row r="444" spans="1:16" x14ac:dyDescent="0.3">
      <c r="A444" t="s">
        <v>1259</v>
      </c>
      <c r="B444" s="1">
        <v>45715</v>
      </c>
      <c r="C444" s="2">
        <v>0.40416666666666667</v>
      </c>
      <c r="D444" t="s">
        <v>1260</v>
      </c>
      <c r="E444" t="s">
        <v>24</v>
      </c>
      <c r="F444" t="s">
        <v>1078</v>
      </c>
      <c r="G444">
        <v>2</v>
      </c>
      <c r="H444">
        <v>22.93</v>
      </c>
      <c r="I444">
        <v>45.86</v>
      </c>
      <c r="J444" t="s">
        <v>1205</v>
      </c>
      <c r="K444" t="s">
        <v>36</v>
      </c>
      <c r="L444">
        <v>3</v>
      </c>
      <c r="M444" t="s">
        <v>1679</v>
      </c>
      <c r="N444" t="s">
        <v>1674</v>
      </c>
      <c r="O444">
        <v>2</v>
      </c>
      <c r="P444" t="s">
        <v>1692</v>
      </c>
    </row>
    <row r="445" spans="1:16" x14ac:dyDescent="0.3">
      <c r="A445" t="s">
        <v>1261</v>
      </c>
      <c r="B445" s="1">
        <v>45769</v>
      </c>
      <c r="C445" s="2">
        <v>0.77222222222222225</v>
      </c>
      <c r="D445" t="s">
        <v>1262</v>
      </c>
      <c r="E445" t="s">
        <v>31</v>
      </c>
      <c r="F445" t="s">
        <v>293</v>
      </c>
      <c r="G445">
        <v>1</v>
      </c>
      <c r="H445">
        <v>22.33</v>
      </c>
      <c r="I445">
        <v>22.33</v>
      </c>
      <c r="J445" t="s">
        <v>1205</v>
      </c>
      <c r="K445" t="s">
        <v>36</v>
      </c>
      <c r="L445">
        <v>1</v>
      </c>
      <c r="M445" t="s">
        <v>1682</v>
      </c>
      <c r="N445" t="s">
        <v>1674</v>
      </c>
      <c r="O445">
        <v>4</v>
      </c>
      <c r="P445" t="s">
        <v>1695</v>
      </c>
    </row>
    <row r="446" spans="1:16" x14ac:dyDescent="0.3">
      <c r="A446" t="s">
        <v>1263</v>
      </c>
      <c r="B446" s="1">
        <v>45743</v>
      </c>
      <c r="C446" s="2">
        <v>0.45277777777777778</v>
      </c>
      <c r="D446" t="s">
        <v>1264</v>
      </c>
      <c r="E446" t="s">
        <v>14</v>
      </c>
      <c r="F446" t="s">
        <v>531</v>
      </c>
      <c r="G446">
        <v>2</v>
      </c>
      <c r="H446">
        <v>35.28</v>
      </c>
      <c r="I446">
        <v>70.56</v>
      </c>
      <c r="J446" t="s">
        <v>1205</v>
      </c>
      <c r="K446" t="s">
        <v>481</v>
      </c>
      <c r="L446">
        <v>1</v>
      </c>
      <c r="M446" t="s">
        <v>1685</v>
      </c>
      <c r="N446" t="s">
        <v>1674</v>
      </c>
      <c r="O446">
        <v>3</v>
      </c>
      <c r="P446" t="s">
        <v>1693</v>
      </c>
    </row>
    <row r="447" spans="1:16" x14ac:dyDescent="0.3">
      <c r="A447" t="s">
        <v>1265</v>
      </c>
      <c r="B447" s="1">
        <v>45707</v>
      </c>
      <c r="C447" s="2">
        <v>0.86388888888888893</v>
      </c>
      <c r="D447" t="s">
        <v>1266</v>
      </c>
      <c r="E447" t="s">
        <v>14</v>
      </c>
      <c r="F447" t="s">
        <v>468</v>
      </c>
      <c r="G447">
        <v>4</v>
      </c>
      <c r="H447">
        <v>27.25</v>
      </c>
      <c r="I447">
        <v>109</v>
      </c>
      <c r="J447" t="s">
        <v>1205</v>
      </c>
      <c r="K447" t="s">
        <v>17</v>
      </c>
      <c r="L447">
        <v>1</v>
      </c>
      <c r="M447" t="s">
        <v>1681</v>
      </c>
      <c r="N447" t="s">
        <v>1674</v>
      </c>
      <c r="O447">
        <v>2</v>
      </c>
      <c r="P447" t="s">
        <v>1692</v>
      </c>
    </row>
    <row r="448" spans="1:16" x14ac:dyDescent="0.3">
      <c r="A448" t="s">
        <v>1267</v>
      </c>
      <c r="B448" s="1">
        <v>45727</v>
      </c>
      <c r="C448" s="2">
        <v>0.59722222222222221</v>
      </c>
      <c r="D448" t="s">
        <v>1268</v>
      </c>
      <c r="E448" t="s">
        <v>14</v>
      </c>
      <c r="F448" t="s">
        <v>1269</v>
      </c>
      <c r="G448">
        <v>5</v>
      </c>
      <c r="H448">
        <v>8.6300000000000008</v>
      </c>
      <c r="I448">
        <v>43.15</v>
      </c>
      <c r="J448" t="s">
        <v>1205</v>
      </c>
      <c r="K448" t="s">
        <v>36</v>
      </c>
      <c r="L448">
        <v>2</v>
      </c>
      <c r="M448" t="s">
        <v>1684</v>
      </c>
      <c r="N448" t="s">
        <v>1674</v>
      </c>
      <c r="O448">
        <v>3</v>
      </c>
      <c r="P448" t="s">
        <v>1693</v>
      </c>
    </row>
    <row r="449" spans="1:16" x14ac:dyDescent="0.3">
      <c r="A449" t="s">
        <v>1270</v>
      </c>
      <c r="B449" s="1">
        <v>45744</v>
      </c>
      <c r="C449" s="2">
        <v>0.82152777777777775</v>
      </c>
      <c r="D449" t="s">
        <v>1271</v>
      </c>
      <c r="E449" t="s">
        <v>35</v>
      </c>
      <c r="F449" t="s">
        <v>1272</v>
      </c>
      <c r="G449">
        <v>4</v>
      </c>
      <c r="H449">
        <v>37.590000000000003</v>
      </c>
      <c r="I449">
        <v>150.36000000000001</v>
      </c>
      <c r="J449" t="s">
        <v>1205</v>
      </c>
      <c r="K449" t="s">
        <v>17</v>
      </c>
      <c r="L449">
        <v>5</v>
      </c>
      <c r="M449" t="s">
        <v>1683</v>
      </c>
      <c r="N449" t="s">
        <v>1674</v>
      </c>
      <c r="O449">
        <v>3</v>
      </c>
      <c r="P449" t="s">
        <v>1693</v>
      </c>
    </row>
    <row r="450" spans="1:16" x14ac:dyDescent="0.3">
      <c r="A450" t="s">
        <v>1273</v>
      </c>
      <c r="B450" s="1">
        <v>45664</v>
      </c>
      <c r="C450" s="2">
        <v>0.97569444444444442</v>
      </c>
      <c r="D450" t="s">
        <v>1274</v>
      </c>
      <c r="E450" t="s">
        <v>45</v>
      </c>
      <c r="F450" t="s">
        <v>1275</v>
      </c>
      <c r="G450">
        <v>5</v>
      </c>
      <c r="H450">
        <v>30.4</v>
      </c>
      <c r="I450">
        <v>152</v>
      </c>
      <c r="J450" t="s">
        <v>1205</v>
      </c>
      <c r="K450" t="s">
        <v>17</v>
      </c>
      <c r="L450">
        <v>4</v>
      </c>
      <c r="M450" t="s">
        <v>1678</v>
      </c>
      <c r="N450" t="s">
        <v>1674</v>
      </c>
      <c r="O450">
        <v>1</v>
      </c>
      <c r="P450" t="s">
        <v>1694</v>
      </c>
    </row>
    <row r="451" spans="1:16" x14ac:dyDescent="0.3">
      <c r="A451" t="s">
        <v>1276</v>
      </c>
      <c r="B451" s="1">
        <v>45662</v>
      </c>
      <c r="C451" s="2">
        <v>0.8569444444444444</v>
      </c>
      <c r="D451" t="s">
        <v>1277</v>
      </c>
      <c r="E451" t="s">
        <v>24</v>
      </c>
      <c r="F451" t="s">
        <v>972</v>
      </c>
      <c r="G451">
        <v>1</v>
      </c>
      <c r="H451">
        <v>50</v>
      </c>
      <c r="I451">
        <v>50</v>
      </c>
      <c r="J451" t="s">
        <v>1205</v>
      </c>
      <c r="K451" t="s">
        <v>17</v>
      </c>
      <c r="L451">
        <v>1</v>
      </c>
      <c r="M451" t="s">
        <v>1681</v>
      </c>
      <c r="N451" t="s">
        <v>1674</v>
      </c>
      <c r="O451">
        <v>1</v>
      </c>
      <c r="P451" t="s">
        <v>1694</v>
      </c>
    </row>
    <row r="452" spans="1:16" x14ac:dyDescent="0.3">
      <c r="A452" t="s">
        <v>1278</v>
      </c>
      <c r="B452" s="1">
        <v>45824</v>
      </c>
      <c r="C452" s="2">
        <v>0.40833333333333333</v>
      </c>
      <c r="D452" t="s">
        <v>1279</v>
      </c>
      <c r="E452" t="s">
        <v>14</v>
      </c>
      <c r="F452" t="s">
        <v>534</v>
      </c>
      <c r="G452">
        <v>1</v>
      </c>
      <c r="H452">
        <v>47.73</v>
      </c>
      <c r="I452">
        <v>47.73</v>
      </c>
      <c r="J452" t="s">
        <v>1205</v>
      </c>
      <c r="K452" t="s">
        <v>17</v>
      </c>
      <c r="L452">
        <v>2</v>
      </c>
      <c r="M452" t="s">
        <v>1679</v>
      </c>
      <c r="N452" t="s">
        <v>1674</v>
      </c>
      <c r="O452">
        <v>6</v>
      </c>
      <c r="P452" t="s">
        <v>1697</v>
      </c>
    </row>
    <row r="453" spans="1:16" x14ac:dyDescent="0.3">
      <c r="A453" t="s">
        <v>1280</v>
      </c>
      <c r="B453" s="1">
        <v>45752</v>
      </c>
      <c r="C453" s="2">
        <v>0.48472222222222222</v>
      </c>
      <c r="D453" t="s">
        <v>1281</v>
      </c>
      <c r="E453" t="s">
        <v>20</v>
      </c>
      <c r="F453" t="s">
        <v>1282</v>
      </c>
      <c r="G453">
        <v>5</v>
      </c>
      <c r="H453">
        <v>48.37</v>
      </c>
      <c r="I453">
        <v>241.85</v>
      </c>
      <c r="J453" t="s">
        <v>1205</v>
      </c>
      <c r="K453" t="s">
        <v>481</v>
      </c>
      <c r="L453">
        <v>3</v>
      </c>
      <c r="M453" t="s">
        <v>1675</v>
      </c>
      <c r="N453" t="s">
        <v>1674</v>
      </c>
      <c r="O453">
        <v>4</v>
      </c>
      <c r="P453" t="s">
        <v>1695</v>
      </c>
    </row>
    <row r="454" spans="1:16" x14ac:dyDescent="0.3">
      <c r="A454" t="s">
        <v>1283</v>
      </c>
      <c r="B454" s="1">
        <v>45787</v>
      </c>
      <c r="C454" s="2">
        <v>0.80625000000000002</v>
      </c>
      <c r="D454" t="s">
        <v>1284</v>
      </c>
      <c r="E454" t="s">
        <v>35</v>
      </c>
      <c r="F454" t="s">
        <v>1285</v>
      </c>
      <c r="G454">
        <v>1</v>
      </c>
      <c r="H454">
        <v>43.23</v>
      </c>
      <c r="I454">
        <v>43.23</v>
      </c>
      <c r="J454" t="s">
        <v>1205</v>
      </c>
      <c r="K454" t="s">
        <v>36</v>
      </c>
      <c r="L454">
        <v>3</v>
      </c>
      <c r="M454" t="s">
        <v>1683</v>
      </c>
      <c r="N454" t="s">
        <v>1674</v>
      </c>
      <c r="O454">
        <v>5</v>
      </c>
      <c r="P454" t="s">
        <v>1696</v>
      </c>
    </row>
    <row r="455" spans="1:16" x14ac:dyDescent="0.3">
      <c r="A455" t="s">
        <v>1286</v>
      </c>
      <c r="B455" s="1">
        <v>45820</v>
      </c>
      <c r="C455" s="2">
        <v>0.99513888888888891</v>
      </c>
      <c r="D455" t="s">
        <v>1287</v>
      </c>
      <c r="E455" t="s">
        <v>35</v>
      </c>
      <c r="F455" t="s">
        <v>1288</v>
      </c>
      <c r="G455">
        <v>4</v>
      </c>
      <c r="H455">
        <v>36.83</v>
      </c>
      <c r="I455">
        <v>147.32</v>
      </c>
      <c r="J455" t="s">
        <v>1205</v>
      </c>
      <c r="K455" t="s">
        <v>17</v>
      </c>
      <c r="L455">
        <v>5</v>
      </c>
      <c r="M455" t="s">
        <v>1678</v>
      </c>
      <c r="N455" t="s">
        <v>1674</v>
      </c>
      <c r="O455">
        <v>6</v>
      </c>
      <c r="P455" t="s">
        <v>1697</v>
      </c>
    </row>
    <row r="456" spans="1:16" x14ac:dyDescent="0.3">
      <c r="A456" t="s">
        <v>1289</v>
      </c>
      <c r="B456" s="1">
        <v>45834</v>
      </c>
      <c r="C456" s="2">
        <v>0.69513888888888886</v>
      </c>
      <c r="D456" t="s">
        <v>1290</v>
      </c>
      <c r="E456" t="s">
        <v>45</v>
      </c>
      <c r="F456" t="s">
        <v>1291</v>
      </c>
      <c r="G456">
        <v>6</v>
      </c>
      <c r="H456">
        <v>27.09</v>
      </c>
      <c r="I456">
        <v>162.54</v>
      </c>
      <c r="J456" t="s">
        <v>1205</v>
      </c>
      <c r="K456" t="s">
        <v>36</v>
      </c>
      <c r="L456">
        <v>2</v>
      </c>
      <c r="M456" t="s">
        <v>1687</v>
      </c>
      <c r="N456" t="s">
        <v>1674</v>
      </c>
      <c r="O456">
        <v>6</v>
      </c>
      <c r="P456" t="s">
        <v>1697</v>
      </c>
    </row>
    <row r="457" spans="1:16" x14ac:dyDescent="0.3">
      <c r="A457" t="s">
        <v>1292</v>
      </c>
      <c r="B457" s="1">
        <v>45690</v>
      </c>
      <c r="C457" s="2">
        <v>0.54305555555555551</v>
      </c>
      <c r="D457" t="s">
        <v>1293</v>
      </c>
      <c r="E457" t="s">
        <v>20</v>
      </c>
      <c r="F457" t="s">
        <v>82</v>
      </c>
      <c r="G457">
        <v>1</v>
      </c>
      <c r="H457">
        <v>29.9</v>
      </c>
      <c r="I457">
        <v>29.9</v>
      </c>
      <c r="J457" t="s">
        <v>1205</v>
      </c>
      <c r="K457" t="s">
        <v>17</v>
      </c>
      <c r="L457">
        <v>4</v>
      </c>
      <c r="M457" t="s">
        <v>1688</v>
      </c>
      <c r="N457" t="s">
        <v>1674</v>
      </c>
      <c r="O457">
        <v>2</v>
      </c>
      <c r="P457" t="s">
        <v>1692</v>
      </c>
    </row>
    <row r="458" spans="1:16" x14ac:dyDescent="0.3">
      <c r="A458" t="s">
        <v>1294</v>
      </c>
      <c r="B458" s="1">
        <v>45688</v>
      </c>
      <c r="C458" s="2">
        <v>0.7416666666666667</v>
      </c>
      <c r="D458" t="s">
        <v>1295</v>
      </c>
      <c r="E458" t="s">
        <v>31</v>
      </c>
      <c r="F458" t="s">
        <v>1296</v>
      </c>
      <c r="G458">
        <v>4</v>
      </c>
      <c r="H458">
        <v>32.28</v>
      </c>
      <c r="I458">
        <v>129.12</v>
      </c>
      <c r="J458" t="s">
        <v>1205</v>
      </c>
      <c r="K458" t="s">
        <v>17</v>
      </c>
      <c r="L458">
        <v>4</v>
      </c>
      <c r="M458" t="s">
        <v>1676</v>
      </c>
      <c r="N458" t="s">
        <v>1674</v>
      </c>
      <c r="O458">
        <v>1</v>
      </c>
      <c r="P458" t="s">
        <v>1694</v>
      </c>
    </row>
    <row r="459" spans="1:16" x14ac:dyDescent="0.3">
      <c r="A459" t="s">
        <v>1297</v>
      </c>
      <c r="B459" s="1">
        <v>45827</v>
      </c>
      <c r="C459" s="2">
        <v>0.4236111111111111</v>
      </c>
      <c r="D459" t="s">
        <v>1298</v>
      </c>
      <c r="E459" t="s">
        <v>45</v>
      </c>
      <c r="F459" t="s">
        <v>1299</v>
      </c>
      <c r="G459">
        <v>2</v>
      </c>
      <c r="H459">
        <v>12.82</v>
      </c>
      <c r="I459">
        <v>25.64</v>
      </c>
      <c r="J459" t="s">
        <v>1205</v>
      </c>
      <c r="K459" t="s">
        <v>481</v>
      </c>
      <c r="L459">
        <v>4</v>
      </c>
      <c r="M459" t="s">
        <v>1685</v>
      </c>
      <c r="N459" t="s">
        <v>1674</v>
      </c>
      <c r="O459">
        <v>6</v>
      </c>
      <c r="P459" t="s">
        <v>1697</v>
      </c>
    </row>
    <row r="460" spans="1:16" x14ac:dyDescent="0.3">
      <c r="A460" t="s">
        <v>1300</v>
      </c>
      <c r="B460" s="1">
        <v>45766</v>
      </c>
      <c r="C460" s="2">
        <v>0.44027777777777777</v>
      </c>
      <c r="D460" t="s">
        <v>1301</v>
      </c>
      <c r="E460" t="s">
        <v>24</v>
      </c>
      <c r="F460" t="s">
        <v>507</v>
      </c>
      <c r="G460">
        <v>2</v>
      </c>
      <c r="H460">
        <v>34.14</v>
      </c>
      <c r="I460">
        <v>68.28</v>
      </c>
      <c r="J460" t="s">
        <v>1205</v>
      </c>
      <c r="K460" t="s">
        <v>481</v>
      </c>
      <c r="L460">
        <v>1</v>
      </c>
      <c r="M460" t="s">
        <v>1685</v>
      </c>
      <c r="N460" t="s">
        <v>1674</v>
      </c>
      <c r="O460">
        <v>4</v>
      </c>
      <c r="P460" t="s">
        <v>1695</v>
      </c>
    </row>
    <row r="461" spans="1:16" x14ac:dyDescent="0.3">
      <c r="A461" t="s">
        <v>1302</v>
      </c>
      <c r="B461" s="1">
        <v>45798</v>
      </c>
      <c r="C461" s="2">
        <v>0.39513888888888887</v>
      </c>
      <c r="D461" t="s">
        <v>1303</v>
      </c>
      <c r="E461" t="s">
        <v>24</v>
      </c>
      <c r="F461" t="s">
        <v>1304</v>
      </c>
      <c r="G461">
        <v>1</v>
      </c>
      <c r="H461">
        <v>19.149999999999999</v>
      </c>
      <c r="I461">
        <v>19.149999999999999</v>
      </c>
      <c r="J461" t="s">
        <v>1205</v>
      </c>
      <c r="K461" t="s">
        <v>36</v>
      </c>
      <c r="L461">
        <v>5</v>
      </c>
      <c r="M461" t="s">
        <v>1679</v>
      </c>
      <c r="N461" t="s">
        <v>1674</v>
      </c>
      <c r="O461">
        <v>5</v>
      </c>
      <c r="P461" t="s">
        <v>1696</v>
      </c>
    </row>
    <row r="462" spans="1:16" x14ac:dyDescent="0.3">
      <c r="A462" t="s">
        <v>1305</v>
      </c>
      <c r="B462" s="1">
        <v>45658</v>
      </c>
      <c r="C462" s="2">
        <v>0.82986111111111116</v>
      </c>
      <c r="D462" t="s">
        <v>1306</v>
      </c>
      <c r="E462" t="s">
        <v>45</v>
      </c>
      <c r="F462" t="s">
        <v>1058</v>
      </c>
      <c r="G462">
        <v>5</v>
      </c>
      <c r="H462">
        <v>25.79</v>
      </c>
      <c r="I462">
        <v>128.94999999999999</v>
      </c>
      <c r="J462" t="s">
        <v>1205</v>
      </c>
      <c r="K462" t="s">
        <v>17</v>
      </c>
      <c r="L462">
        <v>3</v>
      </c>
      <c r="M462" t="s">
        <v>1683</v>
      </c>
      <c r="N462" t="s">
        <v>1674</v>
      </c>
      <c r="O462">
        <v>1</v>
      </c>
      <c r="P462" t="s">
        <v>1694</v>
      </c>
    </row>
    <row r="463" spans="1:16" x14ac:dyDescent="0.3">
      <c r="A463" t="s">
        <v>1307</v>
      </c>
      <c r="B463" s="1">
        <v>45817</v>
      </c>
      <c r="C463" s="2">
        <v>0.89652777777777781</v>
      </c>
      <c r="D463" t="s">
        <v>1308</v>
      </c>
      <c r="E463" t="s">
        <v>45</v>
      </c>
      <c r="F463" t="s">
        <v>1309</v>
      </c>
      <c r="G463">
        <v>6</v>
      </c>
      <c r="H463">
        <v>24.89</v>
      </c>
      <c r="I463">
        <v>149.34</v>
      </c>
      <c r="J463" t="s">
        <v>1205</v>
      </c>
      <c r="K463" t="s">
        <v>36</v>
      </c>
      <c r="L463">
        <v>5</v>
      </c>
      <c r="M463" t="s">
        <v>1686</v>
      </c>
      <c r="N463" t="s">
        <v>1674</v>
      </c>
      <c r="O463">
        <v>6</v>
      </c>
      <c r="P463" t="s">
        <v>1697</v>
      </c>
    </row>
    <row r="464" spans="1:16" x14ac:dyDescent="0.3">
      <c r="A464" t="s">
        <v>1310</v>
      </c>
      <c r="B464" s="1">
        <v>45691</v>
      </c>
      <c r="C464" s="2">
        <v>0.97083333333333333</v>
      </c>
      <c r="D464" t="s">
        <v>1311</v>
      </c>
      <c r="E464" t="s">
        <v>35</v>
      </c>
      <c r="F464" t="s">
        <v>907</v>
      </c>
      <c r="G464">
        <v>4</v>
      </c>
      <c r="H464">
        <v>44.64</v>
      </c>
      <c r="I464">
        <v>178.56</v>
      </c>
      <c r="J464" t="s">
        <v>1205</v>
      </c>
      <c r="K464" t="s">
        <v>481</v>
      </c>
      <c r="L464">
        <v>5</v>
      </c>
      <c r="M464" t="s">
        <v>1678</v>
      </c>
      <c r="N464" t="s">
        <v>1674</v>
      </c>
      <c r="O464">
        <v>2</v>
      </c>
      <c r="P464" t="s">
        <v>1692</v>
      </c>
    </row>
    <row r="465" spans="1:16" x14ac:dyDescent="0.3">
      <c r="A465" t="s">
        <v>1312</v>
      </c>
      <c r="B465" s="1">
        <v>45756</v>
      </c>
      <c r="C465" s="2">
        <v>0.54027777777777775</v>
      </c>
      <c r="D465" t="s">
        <v>1313</v>
      </c>
      <c r="E465" t="s">
        <v>14</v>
      </c>
      <c r="F465" t="s">
        <v>1314</v>
      </c>
      <c r="G465">
        <v>5</v>
      </c>
      <c r="H465">
        <v>27.87</v>
      </c>
      <c r="I465">
        <v>139.35</v>
      </c>
      <c r="J465" t="s">
        <v>1205</v>
      </c>
      <c r="K465" t="s">
        <v>36</v>
      </c>
      <c r="L465">
        <v>4</v>
      </c>
      <c r="M465" t="s">
        <v>1674</v>
      </c>
      <c r="N465" t="s">
        <v>1674</v>
      </c>
      <c r="O465">
        <v>4</v>
      </c>
      <c r="P465" t="s">
        <v>1695</v>
      </c>
    </row>
    <row r="466" spans="1:16" x14ac:dyDescent="0.3">
      <c r="A466" t="s">
        <v>1315</v>
      </c>
      <c r="B466" s="1">
        <v>45743</v>
      </c>
      <c r="C466" s="2">
        <v>0.7416666666666667</v>
      </c>
      <c r="D466" t="s">
        <v>1316</v>
      </c>
      <c r="E466" t="s">
        <v>24</v>
      </c>
      <c r="F466" t="s">
        <v>1317</v>
      </c>
      <c r="G466">
        <v>5</v>
      </c>
      <c r="H466">
        <v>21.97</v>
      </c>
      <c r="I466">
        <v>109.85</v>
      </c>
      <c r="J466" t="s">
        <v>1205</v>
      </c>
      <c r="K466" t="s">
        <v>17</v>
      </c>
      <c r="L466">
        <v>2</v>
      </c>
      <c r="M466" t="s">
        <v>1676</v>
      </c>
      <c r="N466" t="s">
        <v>1674</v>
      </c>
      <c r="O466">
        <v>3</v>
      </c>
      <c r="P466" t="s">
        <v>1693</v>
      </c>
    </row>
    <row r="467" spans="1:16" x14ac:dyDescent="0.3">
      <c r="A467" t="s">
        <v>1318</v>
      </c>
      <c r="B467" s="1">
        <v>45756</v>
      </c>
      <c r="C467" s="2">
        <v>0.82638888888888884</v>
      </c>
      <c r="D467" t="s">
        <v>1319</v>
      </c>
      <c r="E467" t="s">
        <v>35</v>
      </c>
      <c r="F467" t="s">
        <v>1320</v>
      </c>
      <c r="G467">
        <v>6</v>
      </c>
      <c r="H467">
        <v>49.14</v>
      </c>
      <c r="I467">
        <v>294.83999999999997</v>
      </c>
      <c r="J467" t="s">
        <v>1205</v>
      </c>
      <c r="K467" t="s">
        <v>481</v>
      </c>
      <c r="L467">
        <v>5</v>
      </c>
      <c r="M467" t="s">
        <v>1683</v>
      </c>
      <c r="N467" t="s">
        <v>1674</v>
      </c>
      <c r="O467">
        <v>4</v>
      </c>
      <c r="P467" t="s">
        <v>1695</v>
      </c>
    </row>
    <row r="468" spans="1:16" x14ac:dyDescent="0.3">
      <c r="A468" t="s">
        <v>1321</v>
      </c>
      <c r="B468" s="1">
        <v>45809</v>
      </c>
      <c r="C468" s="2">
        <v>0.62152777777777779</v>
      </c>
      <c r="D468" t="s">
        <v>1322</v>
      </c>
      <c r="E468" t="s">
        <v>35</v>
      </c>
      <c r="F468" t="s">
        <v>1323</v>
      </c>
      <c r="G468">
        <v>1</v>
      </c>
      <c r="H468">
        <v>44.34</v>
      </c>
      <c r="I468">
        <v>44.34</v>
      </c>
      <c r="J468" t="s">
        <v>1205</v>
      </c>
      <c r="K468" t="s">
        <v>17</v>
      </c>
      <c r="L468">
        <v>4</v>
      </c>
      <c r="M468" t="s">
        <v>1684</v>
      </c>
      <c r="N468" t="s">
        <v>1674</v>
      </c>
      <c r="O468">
        <v>6</v>
      </c>
      <c r="P468" t="s">
        <v>1697</v>
      </c>
    </row>
    <row r="469" spans="1:16" x14ac:dyDescent="0.3">
      <c r="A469" t="s">
        <v>1324</v>
      </c>
      <c r="B469" s="1">
        <v>45661</v>
      </c>
      <c r="C469" s="2">
        <v>0.83958333333333335</v>
      </c>
      <c r="D469" t="s">
        <v>1325</v>
      </c>
      <c r="E469" t="s">
        <v>14</v>
      </c>
      <c r="F469" t="s">
        <v>159</v>
      </c>
      <c r="G469">
        <v>4</v>
      </c>
      <c r="H469">
        <v>44.19</v>
      </c>
      <c r="I469">
        <v>176.76</v>
      </c>
      <c r="J469" t="s">
        <v>1205</v>
      </c>
      <c r="K469" t="s">
        <v>36</v>
      </c>
      <c r="L469">
        <v>3</v>
      </c>
      <c r="M469" t="s">
        <v>1681</v>
      </c>
      <c r="N469" t="s">
        <v>1674</v>
      </c>
      <c r="O469">
        <v>1</v>
      </c>
      <c r="P469" t="s">
        <v>1694</v>
      </c>
    </row>
    <row r="470" spans="1:16" x14ac:dyDescent="0.3">
      <c r="A470" t="s">
        <v>1326</v>
      </c>
      <c r="B470" s="1">
        <v>45819</v>
      </c>
      <c r="C470" s="2">
        <v>0.83194444444444449</v>
      </c>
      <c r="D470" t="s">
        <v>1327</v>
      </c>
      <c r="E470" t="s">
        <v>20</v>
      </c>
      <c r="F470" t="s">
        <v>1328</v>
      </c>
      <c r="G470">
        <v>3</v>
      </c>
      <c r="H470">
        <v>49.88</v>
      </c>
      <c r="I470">
        <v>149.63999999999999</v>
      </c>
      <c r="J470" t="s">
        <v>1205</v>
      </c>
      <c r="K470" t="s">
        <v>36</v>
      </c>
      <c r="L470">
        <v>1</v>
      </c>
      <c r="M470" t="s">
        <v>1683</v>
      </c>
      <c r="N470" t="s">
        <v>1674</v>
      </c>
      <c r="O470">
        <v>6</v>
      </c>
      <c r="P470" t="s">
        <v>1697</v>
      </c>
    </row>
    <row r="471" spans="1:16" x14ac:dyDescent="0.3">
      <c r="A471" t="s">
        <v>1329</v>
      </c>
      <c r="B471" s="1">
        <v>45741</v>
      </c>
      <c r="C471" s="2">
        <v>0.87708333333333333</v>
      </c>
      <c r="D471" t="s">
        <v>1330</v>
      </c>
      <c r="E471" t="s">
        <v>35</v>
      </c>
      <c r="F471" t="s">
        <v>725</v>
      </c>
      <c r="G471">
        <v>3</v>
      </c>
      <c r="H471">
        <v>21.13</v>
      </c>
      <c r="I471">
        <v>63.39</v>
      </c>
      <c r="J471" t="s">
        <v>1205</v>
      </c>
      <c r="K471" t="s">
        <v>481</v>
      </c>
      <c r="L471">
        <v>5</v>
      </c>
      <c r="M471" t="s">
        <v>1686</v>
      </c>
      <c r="N471" t="s">
        <v>1674</v>
      </c>
      <c r="O471">
        <v>3</v>
      </c>
      <c r="P471" t="s">
        <v>1693</v>
      </c>
    </row>
    <row r="472" spans="1:16" x14ac:dyDescent="0.3">
      <c r="A472" t="s">
        <v>1331</v>
      </c>
      <c r="B472" s="1">
        <v>45751</v>
      </c>
      <c r="C472" s="2">
        <v>0.4513888888888889</v>
      </c>
      <c r="D472" t="s">
        <v>1332</v>
      </c>
      <c r="E472" t="s">
        <v>31</v>
      </c>
      <c r="F472" t="s">
        <v>1333</v>
      </c>
      <c r="G472">
        <v>4</v>
      </c>
      <c r="H472">
        <v>5.63</v>
      </c>
      <c r="I472">
        <v>22.52</v>
      </c>
      <c r="J472" t="s">
        <v>1205</v>
      </c>
      <c r="K472" t="s">
        <v>36</v>
      </c>
      <c r="L472">
        <v>3</v>
      </c>
      <c r="M472" t="s">
        <v>1685</v>
      </c>
      <c r="N472" t="s">
        <v>1674</v>
      </c>
      <c r="O472">
        <v>4</v>
      </c>
      <c r="P472" t="s">
        <v>1695</v>
      </c>
    </row>
    <row r="473" spans="1:16" x14ac:dyDescent="0.3">
      <c r="A473" t="s">
        <v>1334</v>
      </c>
      <c r="B473" s="1">
        <v>45778</v>
      </c>
      <c r="C473" s="2">
        <v>0.40208333333333335</v>
      </c>
      <c r="D473" t="s">
        <v>1335</v>
      </c>
      <c r="E473" t="s">
        <v>31</v>
      </c>
      <c r="F473" t="s">
        <v>1336</v>
      </c>
      <c r="G473">
        <v>5</v>
      </c>
      <c r="H473">
        <v>19.760000000000002</v>
      </c>
      <c r="I473">
        <v>98.8</v>
      </c>
      <c r="J473" t="s">
        <v>1205</v>
      </c>
      <c r="K473" t="s">
        <v>17</v>
      </c>
      <c r="L473">
        <v>1</v>
      </c>
      <c r="M473" t="s">
        <v>1679</v>
      </c>
      <c r="N473" t="s">
        <v>1674</v>
      </c>
      <c r="O473">
        <v>5</v>
      </c>
      <c r="P473" t="s">
        <v>1696</v>
      </c>
    </row>
    <row r="474" spans="1:16" x14ac:dyDescent="0.3">
      <c r="A474" t="s">
        <v>1337</v>
      </c>
      <c r="B474" s="1">
        <v>45820</v>
      </c>
      <c r="C474" s="2">
        <v>0.93680555555555556</v>
      </c>
      <c r="D474" t="s">
        <v>1338</v>
      </c>
      <c r="E474" t="s">
        <v>35</v>
      </c>
      <c r="F474" t="s">
        <v>1339</v>
      </c>
      <c r="G474">
        <v>6</v>
      </c>
      <c r="H474">
        <v>18.600000000000001</v>
      </c>
      <c r="I474">
        <v>111.6</v>
      </c>
      <c r="J474" t="s">
        <v>1205</v>
      </c>
      <c r="K474" t="s">
        <v>481</v>
      </c>
      <c r="L474">
        <v>1</v>
      </c>
      <c r="M474" t="s">
        <v>1680</v>
      </c>
      <c r="N474" t="s">
        <v>1674</v>
      </c>
      <c r="O474">
        <v>6</v>
      </c>
      <c r="P474" t="s">
        <v>1697</v>
      </c>
    </row>
    <row r="475" spans="1:16" x14ac:dyDescent="0.3">
      <c r="A475" t="s">
        <v>1340</v>
      </c>
      <c r="B475" s="1">
        <v>45667</v>
      </c>
      <c r="C475" s="2">
        <v>0.56319444444444444</v>
      </c>
      <c r="D475" t="s">
        <v>1341</v>
      </c>
      <c r="E475" t="s">
        <v>31</v>
      </c>
      <c r="F475" t="s">
        <v>1342</v>
      </c>
      <c r="G475">
        <v>1</v>
      </c>
      <c r="H475">
        <v>9.3699999999999992</v>
      </c>
      <c r="I475">
        <v>9.3699999999999992</v>
      </c>
      <c r="J475" t="s">
        <v>1205</v>
      </c>
      <c r="K475" t="s">
        <v>36</v>
      </c>
      <c r="L475">
        <v>4</v>
      </c>
      <c r="M475" t="s">
        <v>1688</v>
      </c>
      <c r="N475" t="s">
        <v>1674</v>
      </c>
      <c r="O475">
        <v>1</v>
      </c>
      <c r="P475" t="s">
        <v>1694</v>
      </c>
    </row>
    <row r="476" spans="1:16" x14ac:dyDescent="0.3">
      <c r="A476" t="s">
        <v>1343</v>
      </c>
      <c r="B476" s="1">
        <v>45764</v>
      </c>
      <c r="C476" s="2">
        <v>0.79583333333333328</v>
      </c>
      <c r="D476" t="s">
        <v>1344</v>
      </c>
      <c r="E476" t="s">
        <v>24</v>
      </c>
      <c r="F476" t="s">
        <v>642</v>
      </c>
      <c r="G476">
        <v>4</v>
      </c>
      <c r="H476">
        <v>32.700000000000003</v>
      </c>
      <c r="I476">
        <v>130.80000000000001</v>
      </c>
      <c r="J476" t="s">
        <v>1205</v>
      </c>
      <c r="K476" t="s">
        <v>17</v>
      </c>
      <c r="L476">
        <v>3</v>
      </c>
      <c r="M476" t="s">
        <v>1683</v>
      </c>
      <c r="N476" t="s">
        <v>1674</v>
      </c>
      <c r="O476">
        <v>4</v>
      </c>
      <c r="P476" t="s">
        <v>1695</v>
      </c>
    </row>
    <row r="477" spans="1:16" x14ac:dyDescent="0.3">
      <c r="A477" t="s">
        <v>1345</v>
      </c>
      <c r="B477" s="1">
        <v>45822</v>
      </c>
      <c r="C477" s="2">
        <v>0.81805555555555554</v>
      </c>
      <c r="D477" t="s">
        <v>1346</v>
      </c>
      <c r="E477" t="s">
        <v>24</v>
      </c>
      <c r="F477" t="s">
        <v>713</v>
      </c>
      <c r="G477">
        <v>1</v>
      </c>
      <c r="H477">
        <v>7.28</v>
      </c>
      <c r="I477">
        <v>7.28</v>
      </c>
      <c r="J477" t="s">
        <v>1205</v>
      </c>
      <c r="K477" t="s">
        <v>481</v>
      </c>
      <c r="L477">
        <v>5</v>
      </c>
      <c r="M477" t="s">
        <v>1683</v>
      </c>
      <c r="N477" t="s">
        <v>1674</v>
      </c>
      <c r="O477">
        <v>6</v>
      </c>
      <c r="P477" t="s">
        <v>1697</v>
      </c>
    </row>
    <row r="478" spans="1:16" x14ac:dyDescent="0.3">
      <c r="A478" t="s">
        <v>1347</v>
      </c>
      <c r="B478" s="1">
        <v>45710</v>
      </c>
      <c r="C478" s="2">
        <v>0.45347222222222222</v>
      </c>
      <c r="D478" t="s">
        <v>1348</v>
      </c>
      <c r="E478" t="s">
        <v>14</v>
      </c>
      <c r="F478" t="s">
        <v>1349</v>
      </c>
      <c r="G478">
        <v>5</v>
      </c>
      <c r="H478">
        <v>14.32</v>
      </c>
      <c r="I478">
        <v>71.599999999999994</v>
      </c>
      <c r="J478" t="s">
        <v>1205</v>
      </c>
      <c r="K478" t="s">
        <v>36</v>
      </c>
      <c r="L478">
        <v>2</v>
      </c>
      <c r="M478" t="s">
        <v>1685</v>
      </c>
      <c r="N478" t="s">
        <v>1674</v>
      </c>
      <c r="O478">
        <v>2</v>
      </c>
      <c r="P478" t="s">
        <v>1692</v>
      </c>
    </row>
    <row r="479" spans="1:16" x14ac:dyDescent="0.3">
      <c r="A479" t="s">
        <v>1350</v>
      </c>
      <c r="B479" s="1">
        <v>45702</v>
      </c>
      <c r="C479" s="2">
        <v>0.54374999999999996</v>
      </c>
      <c r="D479" t="s">
        <v>1351</v>
      </c>
      <c r="E479" t="s">
        <v>31</v>
      </c>
      <c r="F479" t="s">
        <v>1352</v>
      </c>
      <c r="G479">
        <v>2</v>
      </c>
      <c r="H479">
        <v>38.380000000000003</v>
      </c>
      <c r="I479">
        <v>76.760000000000005</v>
      </c>
      <c r="J479" t="s">
        <v>1205</v>
      </c>
      <c r="K479" t="s">
        <v>17</v>
      </c>
      <c r="L479">
        <v>1</v>
      </c>
      <c r="M479" t="s">
        <v>1688</v>
      </c>
      <c r="N479" t="s">
        <v>1674</v>
      </c>
      <c r="O479">
        <v>2</v>
      </c>
      <c r="P479" t="s">
        <v>1692</v>
      </c>
    </row>
    <row r="480" spans="1:16" x14ac:dyDescent="0.3">
      <c r="A480" t="s">
        <v>1353</v>
      </c>
      <c r="B480" s="1">
        <v>45800</v>
      </c>
      <c r="C480" s="2">
        <v>0.40069444444444446</v>
      </c>
      <c r="D480" t="s">
        <v>1354</v>
      </c>
      <c r="E480" t="s">
        <v>20</v>
      </c>
      <c r="F480" t="s">
        <v>1355</v>
      </c>
      <c r="G480">
        <v>5</v>
      </c>
      <c r="H480">
        <v>30.28</v>
      </c>
      <c r="I480">
        <v>151.4</v>
      </c>
      <c r="J480" t="s">
        <v>1205</v>
      </c>
      <c r="K480" t="s">
        <v>36</v>
      </c>
      <c r="L480">
        <v>3</v>
      </c>
      <c r="M480" t="s">
        <v>1679</v>
      </c>
      <c r="N480" t="s">
        <v>1674</v>
      </c>
      <c r="O480">
        <v>5</v>
      </c>
      <c r="P480" t="s">
        <v>1696</v>
      </c>
    </row>
    <row r="481" spans="1:16" x14ac:dyDescent="0.3">
      <c r="A481" t="s">
        <v>1356</v>
      </c>
      <c r="B481" s="1">
        <v>45684</v>
      </c>
      <c r="C481" s="2">
        <v>0.77222222222222225</v>
      </c>
      <c r="D481" t="s">
        <v>1357</v>
      </c>
      <c r="E481" t="s">
        <v>35</v>
      </c>
      <c r="F481" t="s">
        <v>1161</v>
      </c>
      <c r="G481">
        <v>2</v>
      </c>
      <c r="H481">
        <v>11.96</v>
      </c>
      <c r="I481">
        <v>23.92</v>
      </c>
      <c r="J481" t="s">
        <v>1205</v>
      </c>
      <c r="K481" t="s">
        <v>481</v>
      </c>
      <c r="L481">
        <v>3</v>
      </c>
      <c r="M481" t="s">
        <v>1682</v>
      </c>
      <c r="N481" t="s">
        <v>1674</v>
      </c>
      <c r="O481">
        <v>1</v>
      </c>
      <c r="P481" t="s">
        <v>1694</v>
      </c>
    </row>
    <row r="482" spans="1:16" x14ac:dyDescent="0.3">
      <c r="A482" t="s">
        <v>1358</v>
      </c>
      <c r="B482" s="1">
        <v>45704</v>
      </c>
      <c r="C482" s="2">
        <v>0.57222222222222219</v>
      </c>
      <c r="D482" t="s">
        <v>1359</v>
      </c>
      <c r="E482" t="s">
        <v>24</v>
      </c>
      <c r="F482" t="s">
        <v>547</v>
      </c>
      <c r="G482">
        <v>3</v>
      </c>
      <c r="H482">
        <v>46.47</v>
      </c>
      <c r="I482">
        <v>139.41</v>
      </c>
      <c r="J482" t="s">
        <v>1205</v>
      </c>
      <c r="K482" t="s">
        <v>481</v>
      </c>
      <c r="L482">
        <v>2</v>
      </c>
      <c r="M482" t="s">
        <v>1688</v>
      </c>
      <c r="N482" t="s">
        <v>1674</v>
      </c>
      <c r="O482">
        <v>2</v>
      </c>
      <c r="P482" t="s">
        <v>1692</v>
      </c>
    </row>
    <row r="483" spans="1:16" x14ac:dyDescent="0.3">
      <c r="A483" t="s">
        <v>1360</v>
      </c>
      <c r="B483" s="1">
        <v>45802</v>
      </c>
      <c r="C483" s="2">
        <v>0.80902777777777779</v>
      </c>
      <c r="D483" t="s">
        <v>1361</v>
      </c>
      <c r="E483" t="s">
        <v>20</v>
      </c>
      <c r="F483" t="s">
        <v>1362</v>
      </c>
      <c r="G483">
        <v>1</v>
      </c>
      <c r="H483">
        <v>11.38</v>
      </c>
      <c r="I483">
        <v>11.38</v>
      </c>
      <c r="J483" t="s">
        <v>1205</v>
      </c>
      <c r="K483" t="s">
        <v>481</v>
      </c>
      <c r="L483">
        <v>5</v>
      </c>
      <c r="M483" t="s">
        <v>1683</v>
      </c>
      <c r="N483" t="s">
        <v>1674</v>
      </c>
      <c r="O483">
        <v>5</v>
      </c>
      <c r="P483" t="s">
        <v>1696</v>
      </c>
    </row>
    <row r="484" spans="1:16" x14ac:dyDescent="0.3">
      <c r="A484" t="s">
        <v>1363</v>
      </c>
      <c r="B484" s="1">
        <v>45803</v>
      </c>
      <c r="C484" s="2">
        <v>0.75347222222222221</v>
      </c>
      <c r="D484" t="s">
        <v>1364</v>
      </c>
      <c r="E484" t="s">
        <v>31</v>
      </c>
      <c r="F484" t="s">
        <v>410</v>
      </c>
      <c r="G484">
        <v>1</v>
      </c>
      <c r="H484">
        <v>12</v>
      </c>
      <c r="I484">
        <v>12</v>
      </c>
      <c r="J484" t="s">
        <v>1205</v>
      </c>
      <c r="K484" t="s">
        <v>17</v>
      </c>
      <c r="L484">
        <v>1</v>
      </c>
      <c r="M484" t="s">
        <v>1682</v>
      </c>
      <c r="N484" t="s">
        <v>1674</v>
      </c>
      <c r="O484">
        <v>5</v>
      </c>
      <c r="P484" t="s">
        <v>1696</v>
      </c>
    </row>
    <row r="485" spans="1:16" x14ac:dyDescent="0.3">
      <c r="A485" t="s">
        <v>1365</v>
      </c>
      <c r="B485" s="1">
        <v>45792</v>
      </c>
      <c r="C485" s="2">
        <v>0.80486111111111114</v>
      </c>
      <c r="D485" t="s">
        <v>1366</v>
      </c>
      <c r="E485" t="s">
        <v>31</v>
      </c>
      <c r="F485" t="s">
        <v>1367</v>
      </c>
      <c r="G485">
        <v>1</v>
      </c>
      <c r="H485">
        <v>14.92</v>
      </c>
      <c r="I485">
        <v>14.92</v>
      </c>
      <c r="J485" t="s">
        <v>1205</v>
      </c>
      <c r="K485" t="s">
        <v>481</v>
      </c>
      <c r="L485">
        <v>2</v>
      </c>
      <c r="M485" t="s">
        <v>1683</v>
      </c>
      <c r="N485" t="s">
        <v>1674</v>
      </c>
      <c r="O485">
        <v>5</v>
      </c>
      <c r="P485" t="s">
        <v>1696</v>
      </c>
    </row>
    <row r="486" spans="1:16" x14ac:dyDescent="0.3">
      <c r="A486" t="s">
        <v>1368</v>
      </c>
      <c r="B486" s="1">
        <v>45801</v>
      </c>
      <c r="C486" s="2">
        <v>0.9458333333333333</v>
      </c>
      <c r="D486" t="s">
        <v>1369</v>
      </c>
      <c r="E486" t="s">
        <v>20</v>
      </c>
      <c r="F486" t="s">
        <v>366</v>
      </c>
      <c r="G486">
        <v>3</v>
      </c>
      <c r="H486">
        <v>8.24</v>
      </c>
      <c r="I486">
        <v>24.72</v>
      </c>
      <c r="J486" t="s">
        <v>1205</v>
      </c>
      <c r="K486" t="s">
        <v>36</v>
      </c>
      <c r="L486">
        <v>1</v>
      </c>
      <c r="M486" t="s">
        <v>1680</v>
      </c>
      <c r="N486" t="s">
        <v>1674</v>
      </c>
      <c r="O486">
        <v>5</v>
      </c>
      <c r="P486" t="s">
        <v>1696</v>
      </c>
    </row>
    <row r="487" spans="1:16" x14ac:dyDescent="0.3">
      <c r="A487" t="s">
        <v>1370</v>
      </c>
      <c r="B487" s="1">
        <v>45759</v>
      </c>
      <c r="C487" s="2">
        <v>0.92986111111111114</v>
      </c>
      <c r="D487" t="s">
        <v>1371</v>
      </c>
      <c r="E487" t="s">
        <v>24</v>
      </c>
      <c r="F487" t="s">
        <v>1304</v>
      </c>
      <c r="G487">
        <v>6</v>
      </c>
      <c r="H487">
        <v>20.28</v>
      </c>
      <c r="I487">
        <v>121.68</v>
      </c>
      <c r="J487" t="s">
        <v>1205</v>
      </c>
      <c r="K487" t="s">
        <v>481</v>
      </c>
      <c r="L487">
        <v>5</v>
      </c>
      <c r="M487" t="s">
        <v>1680</v>
      </c>
      <c r="N487" t="s">
        <v>1674</v>
      </c>
      <c r="O487">
        <v>4</v>
      </c>
      <c r="P487" t="s">
        <v>1695</v>
      </c>
    </row>
    <row r="488" spans="1:16" x14ac:dyDescent="0.3">
      <c r="A488" t="s">
        <v>1372</v>
      </c>
      <c r="B488" s="1">
        <v>45718</v>
      </c>
      <c r="C488" s="2">
        <v>0.42291666666666666</v>
      </c>
      <c r="D488" t="s">
        <v>1373</v>
      </c>
      <c r="E488" t="s">
        <v>31</v>
      </c>
      <c r="F488" t="s">
        <v>1175</v>
      </c>
      <c r="G488">
        <v>3</v>
      </c>
      <c r="H488">
        <v>13.88</v>
      </c>
      <c r="I488">
        <v>41.64</v>
      </c>
      <c r="J488" t="s">
        <v>1205</v>
      </c>
      <c r="K488" t="s">
        <v>17</v>
      </c>
      <c r="L488">
        <v>1</v>
      </c>
      <c r="M488" t="s">
        <v>1685</v>
      </c>
      <c r="N488" t="s">
        <v>1674</v>
      </c>
      <c r="O488">
        <v>3</v>
      </c>
      <c r="P488" t="s">
        <v>1693</v>
      </c>
    </row>
    <row r="489" spans="1:16" x14ac:dyDescent="0.3">
      <c r="A489" t="s">
        <v>1374</v>
      </c>
      <c r="B489" s="1">
        <v>45812</v>
      </c>
      <c r="C489" s="2">
        <v>0.68888888888888888</v>
      </c>
      <c r="D489" t="s">
        <v>1375</v>
      </c>
      <c r="E489" t="s">
        <v>35</v>
      </c>
      <c r="F489" t="s">
        <v>1376</v>
      </c>
      <c r="G489">
        <v>2</v>
      </c>
      <c r="H489">
        <v>48.1</v>
      </c>
      <c r="I489">
        <v>96.2</v>
      </c>
      <c r="J489" t="s">
        <v>1205</v>
      </c>
      <c r="K489" t="s">
        <v>36</v>
      </c>
      <c r="L489">
        <v>1</v>
      </c>
      <c r="M489" t="s">
        <v>1687</v>
      </c>
      <c r="N489" t="s">
        <v>1674</v>
      </c>
      <c r="O489">
        <v>6</v>
      </c>
      <c r="P489" t="s">
        <v>1697</v>
      </c>
    </row>
    <row r="490" spans="1:16" x14ac:dyDescent="0.3">
      <c r="A490" t="s">
        <v>1377</v>
      </c>
      <c r="B490" s="1">
        <v>45671</v>
      </c>
      <c r="C490" s="2">
        <v>0.90277777777777779</v>
      </c>
      <c r="D490" t="s">
        <v>1378</v>
      </c>
      <c r="E490" t="s">
        <v>24</v>
      </c>
      <c r="F490" t="s">
        <v>1379</v>
      </c>
      <c r="G490">
        <v>6</v>
      </c>
      <c r="H490">
        <v>20.059999999999999</v>
      </c>
      <c r="I490">
        <v>120.36</v>
      </c>
      <c r="J490" t="s">
        <v>1205</v>
      </c>
      <c r="K490" t="s">
        <v>17</v>
      </c>
      <c r="L490">
        <v>4</v>
      </c>
      <c r="M490" t="s">
        <v>1686</v>
      </c>
      <c r="N490" t="s">
        <v>1674</v>
      </c>
      <c r="O490">
        <v>1</v>
      </c>
      <c r="P490" t="s">
        <v>1694</v>
      </c>
    </row>
    <row r="491" spans="1:16" x14ac:dyDescent="0.3">
      <c r="A491" t="s">
        <v>1380</v>
      </c>
      <c r="B491" s="1">
        <v>45730</v>
      </c>
      <c r="C491" s="2">
        <v>0.57361111111111107</v>
      </c>
      <c r="D491" t="s">
        <v>1381</v>
      </c>
      <c r="E491" t="s">
        <v>31</v>
      </c>
      <c r="F491" t="s">
        <v>1382</v>
      </c>
      <c r="G491">
        <v>6</v>
      </c>
      <c r="H491">
        <v>48.4</v>
      </c>
      <c r="I491">
        <v>290.39999999999998</v>
      </c>
      <c r="J491" t="s">
        <v>1205</v>
      </c>
      <c r="K491" t="s">
        <v>36</v>
      </c>
      <c r="L491">
        <v>1</v>
      </c>
      <c r="M491" t="s">
        <v>1688</v>
      </c>
      <c r="N491" t="s">
        <v>1674</v>
      </c>
      <c r="O491">
        <v>3</v>
      </c>
      <c r="P491" t="s">
        <v>1693</v>
      </c>
    </row>
    <row r="492" spans="1:16" x14ac:dyDescent="0.3">
      <c r="A492" t="s">
        <v>1383</v>
      </c>
      <c r="B492" s="1">
        <v>45829</v>
      </c>
      <c r="C492" s="2">
        <v>0.87013888888888891</v>
      </c>
      <c r="D492" t="s">
        <v>1384</v>
      </c>
      <c r="E492" t="s">
        <v>31</v>
      </c>
      <c r="F492" t="s">
        <v>878</v>
      </c>
      <c r="G492">
        <v>6</v>
      </c>
      <c r="H492">
        <v>49.87</v>
      </c>
      <c r="I492">
        <v>299.22000000000003</v>
      </c>
      <c r="J492" t="s">
        <v>1205</v>
      </c>
      <c r="K492" t="s">
        <v>17</v>
      </c>
      <c r="L492">
        <v>4</v>
      </c>
      <c r="M492" t="s">
        <v>1681</v>
      </c>
      <c r="N492" t="s">
        <v>1674</v>
      </c>
      <c r="O492">
        <v>6</v>
      </c>
      <c r="P492" t="s">
        <v>1697</v>
      </c>
    </row>
    <row r="493" spans="1:16" x14ac:dyDescent="0.3">
      <c r="A493" t="s">
        <v>1385</v>
      </c>
      <c r="B493" s="1">
        <v>45667</v>
      </c>
      <c r="C493" s="2">
        <v>0.80625000000000002</v>
      </c>
      <c r="D493" t="s">
        <v>1386</v>
      </c>
      <c r="E493" t="s">
        <v>35</v>
      </c>
      <c r="F493" t="s">
        <v>1387</v>
      </c>
      <c r="G493">
        <v>5</v>
      </c>
      <c r="H493">
        <v>10.9</v>
      </c>
      <c r="I493">
        <v>54.5</v>
      </c>
      <c r="J493" t="s">
        <v>1205</v>
      </c>
      <c r="K493" t="s">
        <v>481</v>
      </c>
      <c r="L493">
        <v>2</v>
      </c>
      <c r="M493" t="s">
        <v>1683</v>
      </c>
      <c r="N493" t="s">
        <v>1674</v>
      </c>
      <c r="O493">
        <v>1</v>
      </c>
      <c r="P493" t="s">
        <v>1694</v>
      </c>
    </row>
    <row r="494" spans="1:16" x14ac:dyDescent="0.3">
      <c r="A494" t="s">
        <v>1388</v>
      </c>
      <c r="B494" s="1">
        <v>45730</v>
      </c>
      <c r="C494" s="2">
        <v>0.45</v>
      </c>
      <c r="D494" t="s">
        <v>1389</v>
      </c>
      <c r="E494" t="s">
        <v>31</v>
      </c>
      <c r="F494" t="s">
        <v>1390</v>
      </c>
      <c r="G494">
        <v>2</v>
      </c>
      <c r="H494">
        <v>17.28</v>
      </c>
      <c r="I494">
        <v>34.56</v>
      </c>
      <c r="J494" t="s">
        <v>1205</v>
      </c>
      <c r="K494" t="s">
        <v>36</v>
      </c>
      <c r="L494">
        <v>1</v>
      </c>
      <c r="M494" t="s">
        <v>1685</v>
      </c>
      <c r="N494" t="s">
        <v>1674</v>
      </c>
      <c r="O494">
        <v>3</v>
      </c>
      <c r="P494" t="s">
        <v>1693</v>
      </c>
    </row>
    <row r="495" spans="1:16" x14ac:dyDescent="0.3">
      <c r="A495" t="s">
        <v>1391</v>
      </c>
      <c r="B495" s="1">
        <v>45714</v>
      </c>
      <c r="C495" s="2">
        <v>0.93611111111111112</v>
      </c>
      <c r="D495" t="s">
        <v>1392</v>
      </c>
      <c r="E495" t="s">
        <v>35</v>
      </c>
      <c r="F495" t="s">
        <v>1393</v>
      </c>
      <c r="G495">
        <v>3</v>
      </c>
      <c r="H495">
        <v>46.87</v>
      </c>
      <c r="I495">
        <v>140.61000000000001</v>
      </c>
      <c r="J495" t="s">
        <v>1205</v>
      </c>
      <c r="K495" t="s">
        <v>36</v>
      </c>
      <c r="L495">
        <v>5</v>
      </c>
      <c r="M495" t="s">
        <v>1680</v>
      </c>
      <c r="N495" t="s">
        <v>1674</v>
      </c>
      <c r="O495">
        <v>2</v>
      </c>
      <c r="P495" t="s">
        <v>1692</v>
      </c>
    </row>
    <row r="496" spans="1:16" x14ac:dyDescent="0.3">
      <c r="A496" t="s">
        <v>1394</v>
      </c>
      <c r="B496" s="1">
        <v>45772</v>
      </c>
      <c r="C496" s="2">
        <v>0.75</v>
      </c>
      <c r="D496" t="s">
        <v>1395</v>
      </c>
      <c r="E496" t="s">
        <v>14</v>
      </c>
      <c r="F496" t="s">
        <v>1396</v>
      </c>
      <c r="G496">
        <v>1</v>
      </c>
      <c r="H496">
        <v>5.86</v>
      </c>
      <c r="I496">
        <v>5.86</v>
      </c>
      <c r="J496" t="s">
        <v>1205</v>
      </c>
      <c r="K496" t="s">
        <v>17</v>
      </c>
      <c r="L496">
        <v>5</v>
      </c>
      <c r="M496" t="s">
        <v>1682</v>
      </c>
      <c r="N496" t="s">
        <v>1674</v>
      </c>
      <c r="O496">
        <v>4</v>
      </c>
      <c r="P496" t="s">
        <v>1695</v>
      </c>
    </row>
    <row r="497" spans="1:16" x14ac:dyDescent="0.3">
      <c r="A497" t="s">
        <v>1397</v>
      </c>
      <c r="B497" s="1">
        <v>45793</v>
      </c>
      <c r="C497" s="2">
        <v>0.62986111111111109</v>
      </c>
      <c r="D497" t="s">
        <v>1398</v>
      </c>
      <c r="E497" t="s">
        <v>45</v>
      </c>
      <c r="F497" t="s">
        <v>1399</v>
      </c>
      <c r="G497">
        <v>3</v>
      </c>
      <c r="H497">
        <v>15.69</v>
      </c>
      <c r="I497">
        <v>47.07</v>
      </c>
      <c r="J497" t="s">
        <v>1205</v>
      </c>
      <c r="K497" t="s">
        <v>481</v>
      </c>
      <c r="L497">
        <v>4</v>
      </c>
      <c r="M497" t="s">
        <v>1677</v>
      </c>
      <c r="N497" t="s">
        <v>1674</v>
      </c>
      <c r="O497">
        <v>5</v>
      </c>
      <c r="P497" t="s">
        <v>1696</v>
      </c>
    </row>
    <row r="498" spans="1:16" x14ac:dyDescent="0.3">
      <c r="A498" t="s">
        <v>1400</v>
      </c>
      <c r="B498" s="1">
        <v>45748</v>
      </c>
      <c r="C498" s="2">
        <v>0.52500000000000002</v>
      </c>
      <c r="D498" t="s">
        <v>1401</v>
      </c>
      <c r="E498" t="s">
        <v>20</v>
      </c>
      <c r="F498" t="s">
        <v>1402</v>
      </c>
      <c r="G498">
        <v>4</v>
      </c>
      <c r="H498">
        <v>13.43</v>
      </c>
      <c r="I498">
        <v>53.72</v>
      </c>
      <c r="J498" t="s">
        <v>1205</v>
      </c>
      <c r="K498" t="s">
        <v>17</v>
      </c>
      <c r="L498">
        <v>3</v>
      </c>
      <c r="M498" t="s">
        <v>1674</v>
      </c>
      <c r="N498" t="s">
        <v>1674</v>
      </c>
      <c r="O498">
        <v>4</v>
      </c>
      <c r="P498" t="s">
        <v>1695</v>
      </c>
    </row>
    <row r="499" spans="1:16" x14ac:dyDescent="0.3">
      <c r="A499" t="s">
        <v>1403</v>
      </c>
      <c r="B499" s="1">
        <v>45692</v>
      </c>
      <c r="C499" s="2">
        <v>0.39027777777777778</v>
      </c>
      <c r="D499" t="s">
        <v>1404</v>
      </c>
      <c r="E499" t="s">
        <v>20</v>
      </c>
      <c r="F499" t="s">
        <v>343</v>
      </c>
      <c r="G499">
        <v>5</v>
      </c>
      <c r="H499">
        <v>20.23</v>
      </c>
      <c r="I499">
        <v>101.15</v>
      </c>
      <c r="J499" t="s">
        <v>1205</v>
      </c>
      <c r="K499" t="s">
        <v>17</v>
      </c>
      <c r="L499">
        <v>4</v>
      </c>
      <c r="M499" t="s">
        <v>1679</v>
      </c>
      <c r="N499" t="s">
        <v>1674</v>
      </c>
      <c r="O499">
        <v>2</v>
      </c>
      <c r="P499" t="s">
        <v>1692</v>
      </c>
    </row>
    <row r="500" spans="1:16" x14ac:dyDescent="0.3">
      <c r="A500" t="s">
        <v>1405</v>
      </c>
      <c r="B500" s="1">
        <v>45751</v>
      </c>
      <c r="C500" s="2">
        <v>0.63888888888888884</v>
      </c>
      <c r="D500" t="s">
        <v>1406</v>
      </c>
      <c r="E500" t="s">
        <v>45</v>
      </c>
      <c r="F500" t="s">
        <v>1407</v>
      </c>
      <c r="G500">
        <v>6</v>
      </c>
      <c r="H500">
        <v>17.54</v>
      </c>
      <c r="I500">
        <v>105.24</v>
      </c>
      <c r="J500" t="s">
        <v>1205</v>
      </c>
      <c r="K500" t="s">
        <v>17</v>
      </c>
      <c r="L500">
        <v>2</v>
      </c>
      <c r="M500" t="s">
        <v>1677</v>
      </c>
      <c r="N500" t="s">
        <v>1674</v>
      </c>
      <c r="O500">
        <v>4</v>
      </c>
      <c r="P500" t="s">
        <v>1695</v>
      </c>
    </row>
    <row r="501" spans="1:16" x14ac:dyDescent="0.3">
      <c r="A501" t="s">
        <v>1408</v>
      </c>
      <c r="B501" s="1">
        <v>45814</v>
      </c>
      <c r="C501" s="2">
        <v>0.57222222222222219</v>
      </c>
      <c r="D501" t="s">
        <v>1409</v>
      </c>
      <c r="E501" t="s">
        <v>14</v>
      </c>
      <c r="F501" t="s">
        <v>168</v>
      </c>
      <c r="G501">
        <v>4</v>
      </c>
      <c r="H501">
        <v>14.01</v>
      </c>
      <c r="I501">
        <v>56.04</v>
      </c>
      <c r="J501" t="s">
        <v>1205</v>
      </c>
      <c r="K501" t="s">
        <v>36</v>
      </c>
      <c r="L501">
        <v>2</v>
      </c>
      <c r="M501" t="s">
        <v>1688</v>
      </c>
      <c r="N501" t="s">
        <v>1674</v>
      </c>
      <c r="O501">
        <v>6</v>
      </c>
      <c r="P501" t="s">
        <v>1697</v>
      </c>
    </row>
    <row r="502" spans="1:16" x14ac:dyDescent="0.3">
      <c r="A502" t="s">
        <v>1410</v>
      </c>
      <c r="B502" s="1">
        <v>45750</v>
      </c>
      <c r="C502" s="2">
        <v>0.71805555555555556</v>
      </c>
      <c r="D502" t="s">
        <v>1411</v>
      </c>
      <c r="E502" t="s">
        <v>14</v>
      </c>
      <c r="F502" t="s">
        <v>1412</v>
      </c>
      <c r="G502">
        <v>1</v>
      </c>
      <c r="H502">
        <v>49.33</v>
      </c>
      <c r="I502">
        <v>49.33</v>
      </c>
      <c r="J502" t="s">
        <v>1205</v>
      </c>
      <c r="K502" t="s">
        <v>36</v>
      </c>
      <c r="L502">
        <v>1</v>
      </c>
      <c r="M502" t="s">
        <v>1676</v>
      </c>
      <c r="N502" t="s">
        <v>1674</v>
      </c>
      <c r="O502">
        <v>4</v>
      </c>
      <c r="P502" t="s">
        <v>1695</v>
      </c>
    </row>
    <row r="503" spans="1:16" x14ac:dyDescent="0.3">
      <c r="A503" t="s">
        <v>1413</v>
      </c>
      <c r="B503" s="1">
        <v>45750</v>
      </c>
      <c r="C503" s="2">
        <v>0.73333333333333328</v>
      </c>
      <c r="D503" t="s">
        <v>1414</v>
      </c>
      <c r="E503" t="s">
        <v>31</v>
      </c>
      <c r="F503" t="s">
        <v>1415</v>
      </c>
      <c r="G503">
        <v>3</v>
      </c>
      <c r="H503">
        <v>26.03</v>
      </c>
      <c r="I503">
        <v>78.09</v>
      </c>
      <c r="J503" t="s">
        <v>1205</v>
      </c>
      <c r="K503" t="s">
        <v>17</v>
      </c>
      <c r="L503">
        <v>1</v>
      </c>
      <c r="M503" t="s">
        <v>1676</v>
      </c>
      <c r="N503" t="s">
        <v>1674</v>
      </c>
      <c r="O503">
        <v>4</v>
      </c>
      <c r="P503" t="s">
        <v>1695</v>
      </c>
    </row>
    <row r="504" spans="1:16" x14ac:dyDescent="0.3">
      <c r="A504" t="s">
        <v>1416</v>
      </c>
      <c r="B504" s="1">
        <v>45690</v>
      </c>
      <c r="C504" s="2">
        <v>0.99513888888888891</v>
      </c>
      <c r="D504" t="s">
        <v>1417</v>
      </c>
      <c r="E504" t="s">
        <v>14</v>
      </c>
      <c r="F504" t="s">
        <v>1418</v>
      </c>
      <c r="G504">
        <v>5</v>
      </c>
      <c r="H504">
        <v>33.79</v>
      </c>
      <c r="I504">
        <v>168.95</v>
      </c>
      <c r="J504" t="s">
        <v>1205</v>
      </c>
      <c r="K504" t="s">
        <v>36</v>
      </c>
      <c r="L504">
        <v>5</v>
      </c>
      <c r="M504" t="s">
        <v>1678</v>
      </c>
      <c r="N504" t="s">
        <v>1674</v>
      </c>
      <c r="O504">
        <v>2</v>
      </c>
      <c r="P504" t="s">
        <v>1692</v>
      </c>
    </row>
    <row r="505" spans="1:16" x14ac:dyDescent="0.3">
      <c r="A505" t="s">
        <v>1419</v>
      </c>
      <c r="B505" s="1">
        <v>45672</v>
      </c>
      <c r="C505" s="2">
        <v>0.92152777777777772</v>
      </c>
      <c r="D505" t="s">
        <v>1420</v>
      </c>
      <c r="E505" t="s">
        <v>14</v>
      </c>
      <c r="F505" t="s">
        <v>504</v>
      </c>
      <c r="G505">
        <v>5</v>
      </c>
      <c r="H505">
        <v>11.89</v>
      </c>
      <c r="I505">
        <v>59.45</v>
      </c>
      <c r="J505" t="s">
        <v>1205</v>
      </c>
      <c r="K505" t="s">
        <v>36</v>
      </c>
      <c r="L505">
        <v>2</v>
      </c>
      <c r="M505" t="s">
        <v>1680</v>
      </c>
      <c r="N505" t="s">
        <v>1674</v>
      </c>
      <c r="O505">
        <v>1</v>
      </c>
      <c r="P505" t="s">
        <v>1694</v>
      </c>
    </row>
    <row r="506" spans="1:16" x14ac:dyDescent="0.3">
      <c r="A506" t="s">
        <v>1421</v>
      </c>
      <c r="B506" s="1">
        <v>45746</v>
      </c>
      <c r="C506" s="2">
        <v>0.74791666666666667</v>
      </c>
      <c r="D506" t="s">
        <v>1422</v>
      </c>
      <c r="E506" t="s">
        <v>24</v>
      </c>
      <c r="F506" t="s">
        <v>1423</v>
      </c>
      <c r="G506">
        <v>3</v>
      </c>
      <c r="H506">
        <v>43.07</v>
      </c>
      <c r="I506">
        <v>129.21</v>
      </c>
      <c r="J506" t="s">
        <v>1205</v>
      </c>
      <c r="K506" t="s">
        <v>17</v>
      </c>
      <c r="L506">
        <v>5</v>
      </c>
      <c r="M506" t="s">
        <v>1676</v>
      </c>
      <c r="N506" t="s">
        <v>1674</v>
      </c>
      <c r="O506">
        <v>3</v>
      </c>
      <c r="P506" t="s">
        <v>1693</v>
      </c>
    </row>
    <row r="507" spans="1:16" x14ac:dyDescent="0.3">
      <c r="A507" t="s">
        <v>1424</v>
      </c>
      <c r="B507" s="1">
        <v>45781</v>
      </c>
      <c r="C507" s="2">
        <v>0.53541666666666665</v>
      </c>
      <c r="D507" t="s">
        <v>1425</v>
      </c>
      <c r="E507" t="s">
        <v>35</v>
      </c>
      <c r="F507" t="s">
        <v>1426</v>
      </c>
      <c r="G507">
        <v>6</v>
      </c>
      <c r="H507">
        <v>23.27</v>
      </c>
      <c r="I507">
        <v>139.62</v>
      </c>
      <c r="J507" t="s">
        <v>1205</v>
      </c>
      <c r="K507" t="s">
        <v>17</v>
      </c>
      <c r="L507">
        <v>1</v>
      </c>
      <c r="M507" t="s">
        <v>1674</v>
      </c>
      <c r="N507" t="s">
        <v>1674</v>
      </c>
      <c r="O507">
        <v>5</v>
      </c>
      <c r="P507" t="s">
        <v>1696</v>
      </c>
    </row>
    <row r="508" spans="1:16" x14ac:dyDescent="0.3">
      <c r="A508" t="s">
        <v>1427</v>
      </c>
      <c r="B508" s="1">
        <v>45685</v>
      </c>
      <c r="C508" s="2">
        <v>0.59375</v>
      </c>
      <c r="D508" t="s">
        <v>1428</v>
      </c>
      <c r="E508" t="s">
        <v>35</v>
      </c>
      <c r="F508" t="s">
        <v>1429</v>
      </c>
      <c r="G508">
        <v>4</v>
      </c>
      <c r="H508">
        <v>10.51</v>
      </c>
      <c r="I508">
        <v>42.04</v>
      </c>
      <c r="J508" t="s">
        <v>1205</v>
      </c>
      <c r="K508" t="s">
        <v>481</v>
      </c>
      <c r="L508">
        <v>1</v>
      </c>
      <c r="M508" t="s">
        <v>1684</v>
      </c>
      <c r="N508" t="s">
        <v>1674</v>
      </c>
      <c r="O508">
        <v>1</v>
      </c>
      <c r="P508" t="s">
        <v>1694</v>
      </c>
    </row>
    <row r="509" spans="1:16" x14ac:dyDescent="0.3">
      <c r="A509" t="s">
        <v>1430</v>
      </c>
      <c r="B509" s="1">
        <v>45663</v>
      </c>
      <c r="C509" s="2">
        <v>0.43402777777777779</v>
      </c>
      <c r="D509" t="s">
        <v>1431</v>
      </c>
      <c r="E509" t="s">
        <v>14</v>
      </c>
      <c r="F509" t="s">
        <v>310</v>
      </c>
      <c r="G509">
        <v>5</v>
      </c>
      <c r="H509">
        <v>25.58</v>
      </c>
      <c r="I509">
        <v>127.9</v>
      </c>
      <c r="J509" t="s">
        <v>1205</v>
      </c>
      <c r="K509" t="s">
        <v>17</v>
      </c>
      <c r="L509">
        <v>3</v>
      </c>
      <c r="M509" t="s">
        <v>1685</v>
      </c>
      <c r="N509" t="s">
        <v>1674</v>
      </c>
      <c r="O509">
        <v>1</v>
      </c>
      <c r="P509" t="s">
        <v>1694</v>
      </c>
    </row>
    <row r="510" spans="1:16" x14ac:dyDescent="0.3">
      <c r="A510" t="s">
        <v>1432</v>
      </c>
      <c r="B510" s="1">
        <v>45708</v>
      </c>
      <c r="C510" s="2">
        <v>0.77222222222222225</v>
      </c>
      <c r="D510" t="s">
        <v>1433</v>
      </c>
      <c r="E510" t="s">
        <v>45</v>
      </c>
      <c r="F510" t="s">
        <v>1434</v>
      </c>
      <c r="G510">
        <v>4</v>
      </c>
      <c r="H510">
        <v>27.5</v>
      </c>
      <c r="I510">
        <v>110</v>
      </c>
      <c r="J510" t="s">
        <v>1205</v>
      </c>
      <c r="K510" t="s">
        <v>481</v>
      </c>
      <c r="L510">
        <v>3</v>
      </c>
      <c r="M510" t="s">
        <v>1682</v>
      </c>
      <c r="N510" t="s">
        <v>1674</v>
      </c>
      <c r="O510">
        <v>2</v>
      </c>
      <c r="P510" t="s">
        <v>1692</v>
      </c>
    </row>
    <row r="511" spans="1:16" x14ac:dyDescent="0.3">
      <c r="A511" t="s">
        <v>1435</v>
      </c>
      <c r="B511" s="1">
        <v>45779</v>
      </c>
      <c r="C511" s="2">
        <v>0.72847222222222219</v>
      </c>
      <c r="D511" t="s">
        <v>1436</v>
      </c>
      <c r="E511" t="s">
        <v>31</v>
      </c>
      <c r="F511" t="s">
        <v>605</v>
      </c>
      <c r="G511">
        <v>2</v>
      </c>
      <c r="H511">
        <v>32.28</v>
      </c>
      <c r="I511">
        <v>64.56</v>
      </c>
      <c r="J511" t="s">
        <v>1205</v>
      </c>
      <c r="K511" t="s">
        <v>36</v>
      </c>
      <c r="L511">
        <v>5</v>
      </c>
      <c r="M511" t="s">
        <v>1676</v>
      </c>
      <c r="N511" t="s">
        <v>1674</v>
      </c>
      <c r="O511">
        <v>5</v>
      </c>
      <c r="P511" t="s">
        <v>1696</v>
      </c>
    </row>
    <row r="512" spans="1:16" x14ac:dyDescent="0.3">
      <c r="A512" t="s">
        <v>1437</v>
      </c>
      <c r="B512" s="1">
        <v>45788</v>
      </c>
      <c r="C512" s="2">
        <v>0.72986111111111107</v>
      </c>
      <c r="D512" t="s">
        <v>1438</v>
      </c>
      <c r="E512" t="s">
        <v>35</v>
      </c>
      <c r="F512" t="s">
        <v>259</v>
      </c>
      <c r="G512">
        <v>6</v>
      </c>
      <c r="H512">
        <v>30.33</v>
      </c>
      <c r="I512">
        <v>181.98</v>
      </c>
      <c r="J512" t="s">
        <v>1205</v>
      </c>
      <c r="K512" t="s">
        <v>36</v>
      </c>
      <c r="L512">
        <v>3</v>
      </c>
      <c r="M512" t="s">
        <v>1676</v>
      </c>
      <c r="N512" t="s">
        <v>1674</v>
      </c>
      <c r="O512">
        <v>5</v>
      </c>
      <c r="P512" t="s">
        <v>1696</v>
      </c>
    </row>
    <row r="513" spans="1:16" x14ac:dyDescent="0.3">
      <c r="A513" t="s">
        <v>1439</v>
      </c>
      <c r="B513" s="1">
        <v>45814</v>
      </c>
      <c r="C513" s="2">
        <v>0.67500000000000004</v>
      </c>
      <c r="D513" t="s">
        <v>1440</v>
      </c>
      <c r="E513" t="s">
        <v>24</v>
      </c>
      <c r="F513" t="s">
        <v>1441</v>
      </c>
      <c r="G513">
        <v>2</v>
      </c>
      <c r="H513">
        <v>17.559999999999999</v>
      </c>
      <c r="I513">
        <v>35.119999999999997</v>
      </c>
      <c r="J513" t="s">
        <v>1205</v>
      </c>
      <c r="K513" t="s">
        <v>36</v>
      </c>
      <c r="L513">
        <v>3</v>
      </c>
      <c r="M513" t="s">
        <v>1687</v>
      </c>
      <c r="N513" t="s">
        <v>1674</v>
      </c>
      <c r="O513">
        <v>6</v>
      </c>
      <c r="P513" t="s">
        <v>1697</v>
      </c>
    </row>
    <row r="514" spans="1:16" x14ac:dyDescent="0.3">
      <c r="A514" t="s">
        <v>1442</v>
      </c>
      <c r="B514" s="1">
        <v>45759</v>
      </c>
      <c r="C514" s="2">
        <v>0.89652777777777781</v>
      </c>
      <c r="D514" t="s">
        <v>1443</v>
      </c>
      <c r="E514" t="s">
        <v>24</v>
      </c>
      <c r="F514" t="s">
        <v>115</v>
      </c>
      <c r="G514">
        <v>2</v>
      </c>
      <c r="H514">
        <v>47.15</v>
      </c>
      <c r="I514">
        <v>94.3</v>
      </c>
      <c r="J514" t="s">
        <v>1205</v>
      </c>
      <c r="K514" t="s">
        <v>481</v>
      </c>
      <c r="L514">
        <v>3</v>
      </c>
      <c r="M514" t="s">
        <v>1686</v>
      </c>
      <c r="N514" t="s">
        <v>1674</v>
      </c>
      <c r="O514">
        <v>4</v>
      </c>
      <c r="P514" t="s">
        <v>1695</v>
      </c>
    </row>
    <row r="515" spans="1:16" x14ac:dyDescent="0.3">
      <c r="A515" t="s">
        <v>1444</v>
      </c>
      <c r="B515" s="1">
        <v>45821</v>
      </c>
      <c r="C515" s="2">
        <v>0.97083333333333333</v>
      </c>
      <c r="D515" t="s">
        <v>1445</v>
      </c>
      <c r="E515" t="s">
        <v>14</v>
      </c>
      <c r="F515" t="s">
        <v>334</v>
      </c>
      <c r="G515">
        <v>3</v>
      </c>
      <c r="H515">
        <v>32.659999999999997</v>
      </c>
      <c r="I515">
        <v>97.98</v>
      </c>
      <c r="J515" t="s">
        <v>1205</v>
      </c>
      <c r="K515" t="s">
        <v>36</v>
      </c>
      <c r="L515">
        <v>2</v>
      </c>
      <c r="M515" t="s">
        <v>1678</v>
      </c>
      <c r="N515" t="s">
        <v>1674</v>
      </c>
      <c r="O515">
        <v>6</v>
      </c>
      <c r="P515" t="s">
        <v>1697</v>
      </c>
    </row>
    <row r="516" spans="1:16" x14ac:dyDescent="0.3">
      <c r="A516" t="s">
        <v>1446</v>
      </c>
      <c r="B516" s="1">
        <v>45795</v>
      </c>
      <c r="C516" s="2">
        <v>0.46527777777777779</v>
      </c>
      <c r="D516" t="s">
        <v>1447</v>
      </c>
      <c r="E516" t="s">
        <v>35</v>
      </c>
      <c r="F516" t="s">
        <v>1448</v>
      </c>
      <c r="G516">
        <v>3</v>
      </c>
      <c r="H516">
        <v>43.45</v>
      </c>
      <c r="I516">
        <v>130.35</v>
      </c>
      <c r="J516" t="s">
        <v>1205</v>
      </c>
      <c r="K516" t="s">
        <v>17</v>
      </c>
      <c r="L516">
        <v>2</v>
      </c>
      <c r="M516" t="s">
        <v>1675</v>
      </c>
      <c r="N516" t="s">
        <v>1674</v>
      </c>
      <c r="O516">
        <v>5</v>
      </c>
      <c r="P516" t="s">
        <v>1696</v>
      </c>
    </row>
    <row r="517" spans="1:16" x14ac:dyDescent="0.3">
      <c r="A517" t="s">
        <v>1449</v>
      </c>
      <c r="B517" s="1">
        <v>45759</v>
      </c>
      <c r="C517" s="2">
        <v>0.57777777777777772</v>
      </c>
      <c r="D517" t="s">
        <v>1450</v>
      </c>
      <c r="E517" t="s">
        <v>31</v>
      </c>
      <c r="F517" t="s">
        <v>1451</v>
      </c>
      <c r="G517">
        <v>1</v>
      </c>
      <c r="H517">
        <v>38.56</v>
      </c>
      <c r="I517">
        <v>38.56</v>
      </c>
      <c r="J517" t="s">
        <v>1205</v>
      </c>
      <c r="K517" t="s">
        <v>481</v>
      </c>
      <c r="L517">
        <v>4</v>
      </c>
      <c r="M517" t="s">
        <v>1688</v>
      </c>
      <c r="N517" t="s">
        <v>1674</v>
      </c>
      <c r="O517">
        <v>4</v>
      </c>
      <c r="P517" t="s">
        <v>1695</v>
      </c>
    </row>
    <row r="518" spans="1:16" x14ac:dyDescent="0.3">
      <c r="A518" t="s">
        <v>1452</v>
      </c>
      <c r="B518" s="1">
        <v>45766</v>
      </c>
      <c r="C518" s="2">
        <v>0.72499999999999998</v>
      </c>
      <c r="D518" t="s">
        <v>1453</v>
      </c>
      <c r="E518" t="s">
        <v>24</v>
      </c>
      <c r="F518" t="s">
        <v>567</v>
      </c>
      <c r="G518">
        <v>2</v>
      </c>
      <c r="H518">
        <v>16.14</v>
      </c>
      <c r="I518">
        <v>32.28</v>
      </c>
      <c r="J518" t="s">
        <v>1205</v>
      </c>
      <c r="K518" t="s">
        <v>36</v>
      </c>
      <c r="L518">
        <v>2</v>
      </c>
      <c r="M518" t="s">
        <v>1676</v>
      </c>
      <c r="N518" t="s">
        <v>1674</v>
      </c>
      <c r="O518">
        <v>4</v>
      </c>
      <c r="P518" t="s">
        <v>1695</v>
      </c>
    </row>
    <row r="519" spans="1:16" x14ac:dyDescent="0.3">
      <c r="A519" t="s">
        <v>1454</v>
      </c>
      <c r="B519" s="1">
        <v>45686</v>
      </c>
      <c r="C519" s="2">
        <v>0.41041666666666665</v>
      </c>
      <c r="D519" t="s">
        <v>1455</v>
      </c>
      <c r="E519" t="s">
        <v>45</v>
      </c>
      <c r="F519" t="s">
        <v>144</v>
      </c>
      <c r="G519">
        <v>6</v>
      </c>
      <c r="H519">
        <v>23.87</v>
      </c>
      <c r="I519">
        <v>143.22</v>
      </c>
      <c r="J519" t="s">
        <v>1205</v>
      </c>
      <c r="K519" t="s">
        <v>481</v>
      </c>
      <c r="L519">
        <v>1</v>
      </c>
      <c r="M519" t="s">
        <v>1679</v>
      </c>
      <c r="N519" t="s">
        <v>1674</v>
      </c>
      <c r="O519">
        <v>1</v>
      </c>
      <c r="P519" t="s">
        <v>1694</v>
      </c>
    </row>
    <row r="520" spans="1:16" x14ac:dyDescent="0.3">
      <c r="A520" t="s">
        <v>1456</v>
      </c>
      <c r="B520" s="1">
        <v>45683</v>
      </c>
      <c r="C520" s="2">
        <v>0.75138888888888888</v>
      </c>
      <c r="D520" t="s">
        <v>1457</v>
      </c>
      <c r="E520" t="s">
        <v>20</v>
      </c>
      <c r="F520" t="s">
        <v>1458</v>
      </c>
      <c r="G520">
        <v>4</v>
      </c>
      <c r="H520">
        <v>31.9</v>
      </c>
      <c r="I520">
        <v>127.6</v>
      </c>
      <c r="J520" t="s">
        <v>1205</v>
      </c>
      <c r="K520" t="s">
        <v>481</v>
      </c>
      <c r="L520">
        <v>1</v>
      </c>
      <c r="M520" t="s">
        <v>1682</v>
      </c>
      <c r="N520" t="s">
        <v>1674</v>
      </c>
      <c r="O520">
        <v>1</v>
      </c>
      <c r="P520" t="s">
        <v>1694</v>
      </c>
    </row>
    <row r="521" spans="1:16" x14ac:dyDescent="0.3">
      <c r="A521" t="s">
        <v>1459</v>
      </c>
      <c r="B521" s="1">
        <v>45760</v>
      </c>
      <c r="C521" s="2">
        <v>0.67638888888888893</v>
      </c>
      <c r="D521" t="s">
        <v>1460</v>
      </c>
      <c r="E521" t="s">
        <v>45</v>
      </c>
      <c r="F521" t="s">
        <v>1461</v>
      </c>
      <c r="G521">
        <v>5</v>
      </c>
      <c r="H521">
        <v>14.78</v>
      </c>
      <c r="I521">
        <v>73.900000000000006</v>
      </c>
      <c r="J521" t="s">
        <v>1205</v>
      </c>
      <c r="K521" t="s">
        <v>17</v>
      </c>
      <c r="L521">
        <v>3</v>
      </c>
      <c r="M521" t="s">
        <v>1687</v>
      </c>
      <c r="N521" t="s">
        <v>1674</v>
      </c>
      <c r="O521">
        <v>4</v>
      </c>
      <c r="P521" t="s">
        <v>1695</v>
      </c>
    </row>
    <row r="522" spans="1:16" x14ac:dyDescent="0.3">
      <c r="A522" t="s">
        <v>1462</v>
      </c>
      <c r="B522" s="1">
        <v>45718</v>
      </c>
      <c r="C522" s="2">
        <v>0.5805555555555556</v>
      </c>
      <c r="D522" t="s">
        <v>1463</v>
      </c>
      <c r="E522" t="s">
        <v>31</v>
      </c>
      <c r="F522" t="s">
        <v>1464</v>
      </c>
      <c r="G522">
        <v>2</v>
      </c>
      <c r="H522">
        <v>49.36</v>
      </c>
      <c r="I522">
        <v>98.72</v>
      </c>
      <c r="J522" t="s">
        <v>1205</v>
      </c>
      <c r="K522" t="s">
        <v>36</v>
      </c>
      <c r="L522">
        <v>3</v>
      </c>
      <c r="M522" t="s">
        <v>1688</v>
      </c>
      <c r="N522" t="s">
        <v>1674</v>
      </c>
      <c r="O522">
        <v>3</v>
      </c>
      <c r="P522" t="s">
        <v>1693</v>
      </c>
    </row>
    <row r="523" spans="1:16" x14ac:dyDescent="0.3">
      <c r="A523" t="s">
        <v>1465</v>
      </c>
      <c r="B523" s="1">
        <v>45715</v>
      </c>
      <c r="C523" s="2">
        <v>0.57916666666666672</v>
      </c>
      <c r="D523" t="s">
        <v>1466</v>
      </c>
      <c r="E523" t="s">
        <v>35</v>
      </c>
      <c r="F523" t="s">
        <v>1467</v>
      </c>
      <c r="G523">
        <v>6</v>
      </c>
      <c r="H523">
        <v>11.5</v>
      </c>
      <c r="I523">
        <v>69</v>
      </c>
      <c r="J523" t="s">
        <v>1205</v>
      </c>
      <c r="K523" t="s">
        <v>17</v>
      </c>
      <c r="L523">
        <v>4</v>
      </c>
      <c r="M523" t="s">
        <v>1688</v>
      </c>
      <c r="N523" t="s">
        <v>1674</v>
      </c>
      <c r="O523">
        <v>2</v>
      </c>
      <c r="P523" t="s">
        <v>1692</v>
      </c>
    </row>
    <row r="524" spans="1:16" x14ac:dyDescent="0.3">
      <c r="A524" t="s">
        <v>1468</v>
      </c>
      <c r="B524" s="1">
        <v>45764</v>
      </c>
      <c r="C524" s="2">
        <v>0.73124999999999996</v>
      </c>
      <c r="D524" t="s">
        <v>1469</v>
      </c>
      <c r="E524" t="s">
        <v>24</v>
      </c>
      <c r="F524" t="s">
        <v>1470</v>
      </c>
      <c r="G524">
        <v>2</v>
      </c>
      <c r="H524">
        <v>22.48</v>
      </c>
      <c r="I524">
        <v>44.96</v>
      </c>
      <c r="J524" t="s">
        <v>1205</v>
      </c>
      <c r="K524" t="s">
        <v>36</v>
      </c>
      <c r="L524">
        <v>1</v>
      </c>
      <c r="M524" t="s">
        <v>1676</v>
      </c>
      <c r="N524" t="s">
        <v>1674</v>
      </c>
      <c r="O524">
        <v>4</v>
      </c>
      <c r="P524" t="s">
        <v>1695</v>
      </c>
    </row>
    <row r="525" spans="1:16" x14ac:dyDescent="0.3">
      <c r="A525" t="s">
        <v>1471</v>
      </c>
      <c r="B525" s="1">
        <v>45773</v>
      </c>
      <c r="C525" s="2">
        <v>0.93263888888888891</v>
      </c>
      <c r="D525" t="s">
        <v>1472</v>
      </c>
      <c r="E525" t="s">
        <v>14</v>
      </c>
      <c r="F525" t="s">
        <v>1473</v>
      </c>
      <c r="G525">
        <v>1</v>
      </c>
      <c r="H525">
        <v>29.1</v>
      </c>
      <c r="I525">
        <v>29.1</v>
      </c>
      <c r="J525" t="s">
        <v>1205</v>
      </c>
      <c r="K525" t="s">
        <v>36</v>
      </c>
      <c r="L525">
        <v>4</v>
      </c>
      <c r="M525" t="s">
        <v>1680</v>
      </c>
      <c r="N525" t="s">
        <v>1674</v>
      </c>
      <c r="O525">
        <v>4</v>
      </c>
      <c r="P525" t="s">
        <v>1695</v>
      </c>
    </row>
    <row r="526" spans="1:16" x14ac:dyDescent="0.3">
      <c r="A526" t="s">
        <v>1474</v>
      </c>
      <c r="B526" s="1">
        <v>45713</v>
      </c>
      <c r="C526" s="2">
        <v>0.67569444444444449</v>
      </c>
      <c r="D526" t="s">
        <v>1475</v>
      </c>
      <c r="E526" t="s">
        <v>45</v>
      </c>
      <c r="F526" t="s">
        <v>1476</v>
      </c>
      <c r="G526">
        <v>3</v>
      </c>
      <c r="H526">
        <v>18.64</v>
      </c>
      <c r="I526">
        <v>55.92</v>
      </c>
      <c r="J526" t="s">
        <v>1205</v>
      </c>
      <c r="K526" t="s">
        <v>481</v>
      </c>
      <c r="L526">
        <v>1</v>
      </c>
      <c r="M526" t="s">
        <v>1687</v>
      </c>
      <c r="N526" t="s">
        <v>1674</v>
      </c>
      <c r="O526">
        <v>2</v>
      </c>
      <c r="P526" t="s">
        <v>1692</v>
      </c>
    </row>
    <row r="527" spans="1:16" x14ac:dyDescent="0.3">
      <c r="A527" t="s">
        <v>1477</v>
      </c>
      <c r="B527" s="1">
        <v>45763</v>
      </c>
      <c r="C527" s="2">
        <v>0.49513888888888891</v>
      </c>
      <c r="D527" t="s">
        <v>1478</v>
      </c>
      <c r="E527" t="s">
        <v>20</v>
      </c>
      <c r="F527" t="s">
        <v>1479</v>
      </c>
      <c r="G527">
        <v>6</v>
      </c>
      <c r="H527">
        <v>15.41</v>
      </c>
      <c r="I527">
        <v>92.46</v>
      </c>
      <c r="J527" t="s">
        <v>1205</v>
      </c>
      <c r="K527" t="s">
        <v>481</v>
      </c>
      <c r="L527">
        <v>2</v>
      </c>
      <c r="M527" t="s">
        <v>1675</v>
      </c>
      <c r="N527" t="s">
        <v>1674</v>
      </c>
      <c r="O527">
        <v>4</v>
      </c>
      <c r="P527" t="s">
        <v>1695</v>
      </c>
    </row>
    <row r="528" spans="1:16" x14ac:dyDescent="0.3">
      <c r="A528" t="s">
        <v>1480</v>
      </c>
      <c r="B528" s="1">
        <v>45833</v>
      </c>
      <c r="C528" s="2">
        <v>0.95416666666666672</v>
      </c>
      <c r="D528" t="s">
        <v>1481</v>
      </c>
      <c r="E528" t="s">
        <v>20</v>
      </c>
      <c r="F528" t="s">
        <v>699</v>
      </c>
      <c r="G528">
        <v>1</v>
      </c>
      <c r="H528">
        <v>34.42</v>
      </c>
      <c r="I528">
        <v>34.42</v>
      </c>
      <c r="J528" t="s">
        <v>1205</v>
      </c>
      <c r="K528" t="s">
        <v>481</v>
      </c>
      <c r="L528">
        <v>4</v>
      </c>
      <c r="M528" t="s">
        <v>1680</v>
      </c>
      <c r="N528" t="s">
        <v>1674</v>
      </c>
      <c r="O528">
        <v>6</v>
      </c>
      <c r="P528" t="s">
        <v>1697</v>
      </c>
    </row>
    <row r="529" spans="1:16" x14ac:dyDescent="0.3">
      <c r="A529" t="s">
        <v>1482</v>
      </c>
      <c r="B529" s="1">
        <v>45785</v>
      </c>
      <c r="C529" s="2">
        <v>0.93541666666666667</v>
      </c>
      <c r="D529" t="s">
        <v>1483</v>
      </c>
      <c r="E529" t="s">
        <v>31</v>
      </c>
      <c r="F529" t="s">
        <v>313</v>
      </c>
      <c r="G529">
        <v>6</v>
      </c>
      <c r="H529">
        <v>40.299999999999997</v>
      </c>
      <c r="I529">
        <v>241.8</v>
      </c>
      <c r="J529" t="s">
        <v>1205</v>
      </c>
      <c r="K529" t="s">
        <v>17</v>
      </c>
      <c r="L529">
        <v>1</v>
      </c>
      <c r="M529" t="s">
        <v>1680</v>
      </c>
      <c r="N529" t="s">
        <v>1674</v>
      </c>
      <c r="O529">
        <v>5</v>
      </c>
      <c r="P529" t="s">
        <v>1696</v>
      </c>
    </row>
    <row r="530" spans="1:16" x14ac:dyDescent="0.3">
      <c r="A530" t="s">
        <v>1484</v>
      </c>
      <c r="B530" s="1">
        <v>45833</v>
      </c>
      <c r="C530" s="2">
        <v>0.97013888888888888</v>
      </c>
      <c r="D530" t="s">
        <v>1485</v>
      </c>
      <c r="E530" t="s">
        <v>45</v>
      </c>
      <c r="F530" t="s">
        <v>15</v>
      </c>
      <c r="G530">
        <v>5</v>
      </c>
      <c r="H530">
        <v>30.36</v>
      </c>
      <c r="I530">
        <v>151.80000000000001</v>
      </c>
      <c r="J530" t="s">
        <v>1205</v>
      </c>
      <c r="K530" t="s">
        <v>36</v>
      </c>
      <c r="L530">
        <v>1</v>
      </c>
      <c r="M530" t="s">
        <v>1678</v>
      </c>
      <c r="N530" t="s">
        <v>1674</v>
      </c>
      <c r="O530">
        <v>6</v>
      </c>
      <c r="P530" t="s">
        <v>1697</v>
      </c>
    </row>
    <row r="531" spans="1:16" x14ac:dyDescent="0.3">
      <c r="A531" t="s">
        <v>1486</v>
      </c>
      <c r="B531" s="1">
        <v>45834</v>
      </c>
      <c r="C531" s="2">
        <v>0.83680555555555558</v>
      </c>
      <c r="D531" t="s">
        <v>1487</v>
      </c>
      <c r="E531" t="s">
        <v>24</v>
      </c>
      <c r="F531" t="s">
        <v>1488</v>
      </c>
      <c r="G531">
        <v>5</v>
      </c>
      <c r="H531">
        <v>38.549999999999997</v>
      </c>
      <c r="I531">
        <v>192.75</v>
      </c>
      <c r="J531" t="s">
        <v>1205</v>
      </c>
      <c r="K531" t="s">
        <v>481</v>
      </c>
      <c r="L531">
        <v>4</v>
      </c>
      <c r="M531" t="s">
        <v>1681</v>
      </c>
      <c r="N531" t="s">
        <v>1674</v>
      </c>
      <c r="O531">
        <v>6</v>
      </c>
      <c r="P531" t="s">
        <v>1697</v>
      </c>
    </row>
    <row r="532" spans="1:16" x14ac:dyDescent="0.3">
      <c r="A532" t="s">
        <v>1489</v>
      </c>
      <c r="B532" s="1">
        <v>45679</v>
      </c>
      <c r="C532" s="2">
        <v>0.54791666666666672</v>
      </c>
      <c r="D532" t="s">
        <v>1490</v>
      </c>
      <c r="E532" t="s">
        <v>20</v>
      </c>
      <c r="F532" t="s">
        <v>25</v>
      </c>
      <c r="G532">
        <v>4</v>
      </c>
      <c r="H532">
        <v>37.03</v>
      </c>
      <c r="I532">
        <v>148.12</v>
      </c>
      <c r="J532" t="s">
        <v>1205</v>
      </c>
      <c r="K532" t="s">
        <v>17</v>
      </c>
      <c r="L532">
        <v>4</v>
      </c>
      <c r="M532" t="s">
        <v>1688</v>
      </c>
      <c r="N532" t="s">
        <v>1674</v>
      </c>
      <c r="O532">
        <v>1</v>
      </c>
      <c r="P532" t="s">
        <v>1694</v>
      </c>
    </row>
    <row r="533" spans="1:16" x14ac:dyDescent="0.3">
      <c r="A533" t="s">
        <v>1491</v>
      </c>
      <c r="B533" s="1">
        <v>45722</v>
      </c>
      <c r="C533" s="2">
        <v>0.53194444444444444</v>
      </c>
      <c r="D533" t="s">
        <v>1492</v>
      </c>
      <c r="E533" t="s">
        <v>31</v>
      </c>
      <c r="F533" t="s">
        <v>468</v>
      </c>
      <c r="G533">
        <v>6</v>
      </c>
      <c r="H533">
        <v>27.31</v>
      </c>
      <c r="I533">
        <v>163.86</v>
      </c>
      <c r="J533" t="s">
        <v>1205</v>
      </c>
      <c r="K533" t="s">
        <v>36</v>
      </c>
      <c r="L533">
        <v>1</v>
      </c>
      <c r="M533" t="s">
        <v>1674</v>
      </c>
      <c r="N533" t="s">
        <v>1674</v>
      </c>
      <c r="O533">
        <v>3</v>
      </c>
      <c r="P533" t="s">
        <v>1693</v>
      </c>
    </row>
    <row r="534" spans="1:16" x14ac:dyDescent="0.3">
      <c r="A534" t="s">
        <v>1493</v>
      </c>
      <c r="B534" s="1">
        <v>45709</v>
      </c>
      <c r="C534" s="2">
        <v>0.77361111111111114</v>
      </c>
      <c r="D534" t="s">
        <v>1494</v>
      </c>
      <c r="E534" t="s">
        <v>31</v>
      </c>
      <c r="F534" t="s">
        <v>1114</v>
      </c>
      <c r="G534">
        <v>2</v>
      </c>
      <c r="H534">
        <v>35.68</v>
      </c>
      <c r="I534">
        <v>71.36</v>
      </c>
      <c r="J534" t="s">
        <v>1205</v>
      </c>
      <c r="K534" t="s">
        <v>17</v>
      </c>
      <c r="L534">
        <v>4</v>
      </c>
      <c r="M534" t="s">
        <v>1682</v>
      </c>
      <c r="N534" t="s">
        <v>1674</v>
      </c>
      <c r="O534">
        <v>2</v>
      </c>
      <c r="P534" t="s">
        <v>1692</v>
      </c>
    </row>
    <row r="535" spans="1:16" x14ac:dyDescent="0.3">
      <c r="A535" t="s">
        <v>1495</v>
      </c>
      <c r="B535" s="1">
        <v>45696</v>
      </c>
      <c r="C535" s="2">
        <v>0.58402777777777781</v>
      </c>
      <c r="D535" t="s">
        <v>1496</v>
      </c>
      <c r="E535" t="s">
        <v>35</v>
      </c>
      <c r="F535" t="s">
        <v>1497</v>
      </c>
      <c r="G535">
        <v>4</v>
      </c>
      <c r="H535">
        <v>9.6999999999999993</v>
      </c>
      <c r="I535">
        <v>38.799999999999997</v>
      </c>
      <c r="J535" t="s">
        <v>1205</v>
      </c>
      <c r="K535" t="s">
        <v>481</v>
      </c>
      <c r="L535">
        <v>2</v>
      </c>
      <c r="M535" t="s">
        <v>1684</v>
      </c>
      <c r="N535" t="s">
        <v>1674</v>
      </c>
      <c r="O535">
        <v>2</v>
      </c>
      <c r="P535" t="s">
        <v>1692</v>
      </c>
    </row>
    <row r="536" spans="1:16" x14ac:dyDescent="0.3">
      <c r="A536" t="s">
        <v>1498</v>
      </c>
      <c r="B536" s="1">
        <v>45702</v>
      </c>
      <c r="C536" s="2">
        <v>0.71527777777777779</v>
      </c>
      <c r="D536" t="s">
        <v>1499</v>
      </c>
      <c r="E536" t="s">
        <v>35</v>
      </c>
      <c r="F536" t="s">
        <v>230</v>
      </c>
      <c r="G536">
        <v>3</v>
      </c>
      <c r="H536">
        <v>30.19</v>
      </c>
      <c r="I536">
        <v>90.57</v>
      </c>
      <c r="J536" t="s">
        <v>1205</v>
      </c>
      <c r="K536" t="s">
        <v>36</v>
      </c>
      <c r="L536">
        <v>2</v>
      </c>
      <c r="M536" t="s">
        <v>1676</v>
      </c>
      <c r="N536" t="s">
        <v>1674</v>
      </c>
      <c r="O536">
        <v>2</v>
      </c>
      <c r="P536" t="s">
        <v>1692</v>
      </c>
    </row>
    <row r="537" spans="1:16" x14ac:dyDescent="0.3">
      <c r="A537" t="s">
        <v>1500</v>
      </c>
      <c r="B537" s="1">
        <v>45805</v>
      </c>
      <c r="C537" s="2">
        <v>0.45208333333333334</v>
      </c>
      <c r="D537" t="s">
        <v>1501</v>
      </c>
      <c r="E537" t="s">
        <v>24</v>
      </c>
      <c r="F537" t="s">
        <v>109</v>
      </c>
      <c r="G537">
        <v>5</v>
      </c>
      <c r="H537">
        <v>13.41</v>
      </c>
      <c r="I537">
        <v>67.05</v>
      </c>
      <c r="J537" t="s">
        <v>1205</v>
      </c>
      <c r="K537" t="s">
        <v>36</v>
      </c>
      <c r="L537">
        <v>1</v>
      </c>
      <c r="M537" t="s">
        <v>1685</v>
      </c>
      <c r="N537" t="s">
        <v>1674</v>
      </c>
      <c r="O537">
        <v>5</v>
      </c>
      <c r="P537" t="s">
        <v>1696</v>
      </c>
    </row>
    <row r="538" spans="1:16" x14ac:dyDescent="0.3">
      <c r="A538" t="s">
        <v>1502</v>
      </c>
      <c r="B538" s="1">
        <v>45815</v>
      </c>
      <c r="C538" s="2">
        <v>0.75347222222222221</v>
      </c>
      <c r="D538" t="s">
        <v>1503</v>
      </c>
      <c r="E538" t="s">
        <v>45</v>
      </c>
      <c r="F538" t="s">
        <v>233</v>
      </c>
      <c r="G538">
        <v>6</v>
      </c>
      <c r="H538">
        <v>11.03</v>
      </c>
      <c r="I538">
        <v>66.180000000000007</v>
      </c>
      <c r="J538" t="s">
        <v>1205</v>
      </c>
      <c r="K538" t="s">
        <v>36</v>
      </c>
      <c r="L538">
        <v>1</v>
      </c>
      <c r="M538" t="s">
        <v>1682</v>
      </c>
      <c r="N538" t="s">
        <v>1674</v>
      </c>
      <c r="O538">
        <v>6</v>
      </c>
      <c r="P538" t="s">
        <v>1697</v>
      </c>
    </row>
    <row r="539" spans="1:16" x14ac:dyDescent="0.3">
      <c r="A539" t="s">
        <v>1504</v>
      </c>
      <c r="B539" s="1">
        <v>45802</v>
      </c>
      <c r="C539" s="2">
        <v>0.40972222222222221</v>
      </c>
      <c r="D539" t="s">
        <v>1505</v>
      </c>
      <c r="E539" t="s">
        <v>24</v>
      </c>
      <c r="F539" t="s">
        <v>929</v>
      </c>
      <c r="G539">
        <v>2</v>
      </c>
      <c r="H539">
        <v>18.14</v>
      </c>
      <c r="I539">
        <v>36.28</v>
      </c>
      <c r="J539" t="s">
        <v>1205</v>
      </c>
      <c r="K539" t="s">
        <v>17</v>
      </c>
      <c r="L539">
        <v>3</v>
      </c>
      <c r="M539" t="s">
        <v>1679</v>
      </c>
      <c r="N539" t="s">
        <v>1674</v>
      </c>
      <c r="O539">
        <v>5</v>
      </c>
      <c r="P539" t="s">
        <v>1696</v>
      </c>
    </row>
    <row r="540" spans="1:16" x14ac:dyDescent="0.3">
      <c r="A540" t="s">
        <v>1506</v>
      </c>
      <c r="B540" s="1">
        <v>45797</v>
      </c>
      <c r="C540" s="2">
        <v>0.51875000000000004</v>
      </c>
      <c r="D540" t="s">
        <v>1507</v>
      </c>
      <c r="E540" t="s">
        <v>20</v>
      </c>
      <c r="F540" t="s">
        <v>1508</v>
      </c>
      <c r="G540">
        <v>1</v>
      </c>
      <c r="H540">
        <v>38.119999999999997</v>
      </c>
      <c r="I540">
        <v>38.119999999999997</v>
      </c>
      <c r="J540" t="s">
        <v>1205</v>
      </c>
      <c r="K540" t="s">
        <v>36</v>
      </c>
      <c r="L540">
        <v>1</v>
      </c>
      <c r="M540" t="s">
        <v>1674</v>
      </c>
      <c r="N540" t="s">
        <v>1674</v>
      </c>
      <c r="O540">
        <v>5</v>
      </c>
      <c r="P540" t="s">
        <v>1696</v>
      </c>
    </row>
    <row r="541" spans="1:16" x14ac:dyDescent="0.3">
      <c r="A541" t="s">
        <v>1509</v>
      </c>
      <c r="B541" s="1">
        <v>45773</v>
      </c>
      <c r="C541" s="2">
        <v>0.55694444444444446</v>
      </c>
      <c r="D541" t="s">
        <v>1510</v>
      </c>
      <c r="E541" t="s">
        <v>45</v>
      </c>
      <c r="F541" t="s">
        <v>1511</v>
      </c>
      <c r="G541">
        <v>1</v>
      </c>
      <c r="H541">
        <v>24.76</v>
      </c>
      <c r="I541">
        <v>24.76</v>
      </c>
      <c r="J541" t="s">
        <v>1205</v>
      </c>
      <c r="K541" t="s">
        <v>481</v>
      </c>
      <c r="L541">
        <v>5</v>
      </c>
      <c r="M541" t="s">
        <v>1688</v>
      </c>
      <c r="N541" t="s">
        <v>1674</v>
      </c>
      <c r="O541">
        <v>4</v>
      </c>
      <c r="P541" t="s">
        <v>1695</v>
      </c>
    </row>
    <row r="542" spans="1:16" x14ac:dyDescent="0.3">
      <c r="A542" t="s">
        <v>1512</v>
      </c>
      <c r="B542" s="1">
        <v>45834</v>
      </c>
      <c r="C542" s="2">
        <v>0.62152777777777779</v>
      </c>
      <c r="D542" t="s">
        <v>1513</v>
      </c>
      <c r="E542" t="s">
        <v>35</v>
      </c>
      <c r="F542" t="s">
        <v>1514</v>
      </c>
      <c r="G542">
        <v>6</v>
      </c>
      <c r="H542">
        <v>32.46</v>
      </c>
      <c r="I542">
        <v>194.76</v>
      </c>
      <c r="J542" t="s">
        <v>1205</v>
      </c>
      <c r="K542" t="s">
        <v>17</v>
      </c>
      <c r="L542">
        <v>2</v>
      </c>
      <c r="M542" t="s">
        <v>1684</v>
      </c>
      <c r="N542" t="s">
        <v>1674</v>
      </c>
      <c r="O542">
        <v>6</v>
      </c>
      <c r="P542" t="s">
        <v>1697</v>
      </c>
    </row>
    <row r="543" spans="1:16" x14ac:dyDescent="0.3">
      <c r="A543" t="s">
        <v>1515</v>
      </c>
      <c r="B543" s="1">
        <v>45805</v>
      </c>
      <c r="C543" s="2">
        <v>0.80347222222222225</v>
      </c>
      <c r="D543" t="s">
        <v>1516</v>
      </c>
      <c r="E543" t="s">
        <v>35</v>
      </c>
      <c r="F543" t="s">
        <v>1517</v>
      </c>
      <c r="G543">
        <v>6</v>
      </c>
      <c r="H543">
        <v>23.64</v>
      </c>
      <c r="I543">
        <v>141.84</v>
      </c>
      <c r="J543" t="s">
        <v>1205</v>
      </c>
      <c r="K543" t="s">
        <v>17</v>
      </c>
      <c r="L543">
        <v>1</v>
      </c>
      <c r="M543" t="s">
        <v>1683</v>
      </c>
      <c r="N543" t="s">
        <v>1674</v>
      </c>
      <c r="O543">
        <v>5</v>
      </c>
      <c r="P543" t="s">
        <v>1696</v>
      </c>
    </row>
    <row r="544" spans="1:16" x14ac:dyDescent="0.3">
      <c r="A544" t="s">
        <v>1518</v>
      </c>
      <c r="B544" s="1">
        <v>45674</v>
      </c>
      <c r="C544" s="2">
        <v>0.89861111111111114</v>
      </c>
      <c r="D544" t="s">
        <v>1519</v>
      </c>
      <c r="E544" t="s">
        <v>35</v>
      </c>
      <c r="F544" t="s">
        <v>453</v>
      </c>
      <c r="G544">
        <v>4</v>
      </c>
      <c r="H544">
        <v>14.8</v>
      </c>
      <c r="I544">
        <v>59.2</v>
      </c>
      <c r="J544" t="s">
        <v>1205</v>
      </c>
      <c r="K544" t="s">
        <v>36</v>
      </c>
      <c r="L544">
        <v>3</v>
      </c>
      <c r="M544" t="s">
        <v>1686</v>
      </c>
      <c r="N544" t="s">
        <v>1674</v>
      </c>
      <c r="O544">
        <v>1</v>
      </c>
      <c r="P544" t="s">
        <v>1694</v>
      </c>
    </row>
    <row r="545" spans="1:16" x14ac:dyDescent="0.3">
      <c r="A545" t="s">
        <v>1520</v>
      </c>
      <c r="B545" s="1">
        <v>45832</v>
      </c>
      <c r="C545" s="2">
        <v>0.87708333333333333</v>
      </c>
      <c r="D545" t="s">
        <v>1521</v>
      </c>
      <c r="E545" t="s">
        <v>35</v>
      </c>
      <c r="F545" t="s">
        <v>1522</v>
      </c>
      <c r="G545">
        <v>1</v>
      </c>
      <c r="H545">
        <v>9.48</v>
      </c>
      <c r="I545">
        <v>9.48</v>
      </c>
      <c r="J545" t="s">
        <v>1205</v>
      </c>
      <c r="K545" t="s">
        <v>481</v>
      </c>
      <c r="L545">
        <v>2</v>
      </c>
      <c r="M545" t="s">
        <v>1686</v>
      </c>
      <c r="N545" t="s">
        <v>1674</v>
      </c>
      <c r="O545">
        <v>6</v>
      </c>
      <c r="P545" t="s">
        <v>1697</v>
      </c>
    </row>
    <row r="546" spans="1:16" x14ac:dyDescent="0.3">
      <c r="A546" t="s">
        <v>1523</v>
      </c>
      <c r="B546" s="1">
        <v>45770</v>
      </c>
      <c r="C546" s="2">
        <v>0.66666666666666663</v>
      </c>
      <c r="D546" t="s">
        <v>1524</v>
      </c>
      <c r="E546" t="s">
        <v>20</v>
      </c>
      <c r="F546" t="s">
        <v>124</v>
      </c>
      <c r="G546">
        <v>4</v>
      </c>
      <c r="H546">
        <v>14.1</v>
      </c>
      <c r="I546">
        <v>56.4</v>
      </c>
      <c r="J546" t="s">
        <v>1205</v>
      </c>
      <c r="K546" t="s">
        <v>17</v>
      </c>
      <c r="L546">
        <v>3</v>
      </c>
      <c r="M546" t="s">
        <v>1687</v>
      </c>
      <c r="N546" t="s">
        <v>1674</v>
      </c>
      <c r="O546">
        <v>4</v>
      </c>
      <c r="P546" t="s">
        <v>1695</v>
      </c>
    </row>
    <row r="547" spans="1:16" x14ac:dyDescent="0.3">
      <c r="A547" t="s">
        <v>1525</v>
      </c>
      <c r="B547" s="1">
        <v>45766</v>
      </c>
      <c r="C547" s="2">
        <v>0.83888888888888891</v>
      </c>
      <c r="D547" t="s">
        <v>1526</v>
      </c>
      <c r="E547" t="s">
        <v>35</v>
      </c>
      <c r="F547" t="s">
        <v>130</v>
      </c>
      <c r="G547">
        <v>4</v>
      </c>
      <c r="H547">
        <v>8.19</v>
      </c>
      <c r="I547">
        <v>32.76</v>
      </c>
      <c r="J547" t="s">
        <v>1205</v>
      </c>
      <c r="K547" t="s">
        <v>17</v>
      </c>
      <c r="L547">
        <v>1</v>
      </c>
      <c r="M547" t="s">
        <v>1681</v>
      </c>
      <c r="N547" t="s">
        <v>1674</v>
      </c>
      <c r="O547">
        <v>4</v>
      </c>
      <c r="P547" t="s">
        <v>1695</v>
      </c>
    </row>
    <row r="548" spans="1:16" x14ac:dyDescent="0.3">
      <c r="A548" t="s">
        <v>1527</v>
      </c>
      <c r="B548" s="1">
        <v>45818</v>
      </c>
      <c r="C548" s="2">
        <v>0.83958333333333335</v>
      </c>
      <c r="D548" t="s">
        <v>1528</v>
      </c>
      <c r="E548" t="s">
        <v>35</v>
      </c>
      <c r="F548" t="s">
        <v>1529</v>
      </c>
      <c r="G548">
        <v>4</v>
      </c>
      <c r="H548">
        <v>32.72</v>
      </c>
      <c r="I548">
        <v>130.88</v>
      </c>
      <c r="J548" t="s">
        <v>1205</v>
      </c>
      <c r="K548" t="s">
        <v>481</v>
      </c>
      <c r="L548">
        <v>1</v>
      </c>
      <c r="M548" t="s">
        <v>1681</v>
      </c>
      <c r="N548" t="s">
        <v>1674</v>
      </c>
      <c r="O548">
        <v>6</v>
      </c>
      <c r="P548" t="s">
        <v>1697</v>
      </c>
    </row>
    <row r="549" spans="1:16" x14ac:dyDescent="0.3">
      <c r="A549" t="s">
        <v>1530</v>
      </c>
      <c r="B549" s="1">
        <v>45813</v>
      </c>
      <c r="C549" s="2">
        <v>0.71666666666666667</v>
      </c>
      <c r="D549" t="s">
        <v>1531</v>
      </c>
      <c r="E549" t="s">
        <v>20</v>
      </c>
      <c r="F549" t="s">
        <v>1532</v>
      </c>
      <c r="G549">
        <v>6</v>
      </c>
      <c r="H549">
        <v>22.63</v>
      </c>
      <c r="I549">
        <v>135.78</v>
      </c>
      <c r="J549" t="s">
        <v>1205</v>
      </c>
      <c r="K549" t="s">
        <v>481</v>
      </c>
      <c r="L549">
        <v>4</v>
      </c>
      <c r="M549" t="s">
        <v>1676</v>
      </c>
      <c r="N549" t="s">
        <v>1674</v>
      </c>
      <c r="O549">
        <v>6</v>
      </c>
      <c r="P549" t="s">
        <v>1697</v>
      </c>
    </row>
    <row r="550" spans="1:16" x14ac:dyDescent="0.3">
      <c r="A550" t="s">
        <v>1533</v>
      </c>
      <c r="B550" s="1">
        <v>45676</v>
      </c>
      <c r="C550" s="2">
        <v>0.40069444444444446</v>
      </c>
      <c r="D550" t="s">
        <v>1534</v>
      </c>
      <c r="E550" t="s">
        <v>14</v>
      </c>
      <c r="F550" t="s">
        <v>1535</v>
      </c>
      <c r="G550">
        <v>1</v>
      </c>
      <c r="H550">
        <v>5.62</v>
      </c>
      <c r="I550">
        <v>5.62</v>
      </c>
      <c r="J550" t="s">
        <v>1205</v>
      </c>
      <c r="K550" t="s">
        <v>481</v>
      </c>
      <c r="L550">
        <v>4</v>
      </c>
      <c r="M550" t="s">
        <v>1679</v>
      </c>
      <c r="N550" t="s">
        <v>1674</v>
      </c>
      <c r="O550">
        <v>1</v>
      </c>
      <c r="P550" t="s">
        <v>1694</v>
      </c>
    </row>
    <row r="551" spans="1:16" x14ac:dyDescent="0.3">
      <c r="A551" t="s">
        <v>1536</v>
      </c>
      <c r="B551" s="1">
        <v>45679</v>
      </c>
      <c r="C551" s="2">
        <v>0.81527777777777777</v>
      </c>
      <c r="D551" t="s">
        <v>1537</v>
      </c>
      <c r="E551" t="s">
        <v>24</v>
      </c>
      <c r="F551" t="s">
        <v>1538</v>
      </c>
      <c r="G551">
        <v>5</v>
      </c>
      <c r="H551">
        <v>32.72</v>
      </c>
      <c r="I551">
        <v>163.6</v>
      </c>
      <c r="J551" t="s">
        <v>1205</v>
      </c>
      <c r="K551" t="s">
        <v>36</v>
      </c>
      <c r="L551">
        <v>1</v>
      </c>
      <c r="M551" t="s">
        <v>1683</v>
      </c>
      <c r="N551" t="s">
        <v>1674</v>
      </c>
      <c r="O551">
        <v>1</v>
      </c>
      <c r="P551" t="s">
        <v>1694</v>
      </c>
    </row>
    <row r="552" spans="1:16" x14ac:dyDescent="0.3">
      <c r="A552" t="s">
        <v>1539</v>
      </c>
      <c r="B552" s="1">
        <v>45737</v>
      </c>
      <c r="C552" s="2">
        <v>0.8520833333333333</v>
      </c>
      <c r="D552" t="s">
        <v>1540</v>
      </c>
      <c r="E552" t="s">
        <v>14</v>
      </c>
      <c r="F552" t="s">
        <v>898</v>
      </c>
      <c r="G552">
        <v>6</v>
      </c>
      <c r="H552">
        <v>47.9</v>
      </c>
      <c r="I552">
        <v>287.39999999999998</v>
      </c>
      <c r="J552" t="s">
        <v>1205</v>
      </c>
      <c r="K552" t="s">
        <v>481</v>
      </c>
      <c r="L552">
        <v>1</v>
      </c>
      <c r="M552" t="s">
        <v>1681</v>
      </c>
      <c r="N552" t="s">
        <v>1674</v>
      </c>
      <c r="O552">
        <v>3</v>
      </c>
      <c r="P552" t="s">
        <v>1693</v>
      </c>
    </row>
    <row r="553" spans="1:16" x14ac:dyDescent="0.3">
      <c r="A553" t="s">
        <v>1541</v>
      </c>
      <c r="B553" s="1">
        <v>45790</v>
      </c>
      <c r="C553" s="2">
        <v>0.91111111111111109</v>
      </c>
      <c r="D553" t="s">
        <v>1542</v>
      </c>
      <c r="E553" t="s">
        <v>24</v>
      </c>
      <c r="F553" t="s">
        <v>1543</v>
      </c>
      <c r="G553">
        <v>6</v>
      </c>
      <c r="H553">
        <v>16.670000000000002</v>
      </c>
      <c r="I553">
        <v>100.02</v>
      </c>
      <c r="J553" t="s">
        <v>1205</v>
      </c>
      <c r="K553" t="s">
        <v>17</v>
      </c>
      <c r="L553">
        <v>3</v>
      </c>
      <c r="M553" t="s">
        <v>1686</v>
      </c>
      <c r="N553" t="s">
        <v>1674</v>
      </c>
      <c r="O553">
        <v>5</v>
      </c>
      <c r="P553" t="s">
        <v>1696</v>
      </c>
    </row>
    <row r="554" spans="1:16" x14ac:dyDescent="0.3">
      <c r="A554" t="s">
        <v>1544</v>
      </c>
      <c r="B554" s="1">
        <v>45785</v>
      </c>
      <c r="C554" s="2">
        <v>0.94166666666666665</v>
      </c>
      <c r="D554" t="s">
        <v>1545</v>
      </c>
      <c r="E554" t="s">
        <v>24</v>
      </c>
      <c r="F554" t="s">
        <v>889</v>
      </c>
      <c r="G554">
        <v>2</v>
      </c>
      <c r="H554">
        <v>21.55</v>
      </c>
      <c r="I554">
        <v>43.1</v>
      </c>
      <c r="J554" t="s">
        <v>1205</v>
      </c>
      <c r="K554" t="s">
        <v>17</v>
      </c>
      <c r="L554">
        <v>1</v>
      </c>
      <c r="M554" t="s">
        <v>1680</v>
      </c>
      <c r="N554" t="s">
        <v>1674</v>
      </c>
      <c r="O554">
        <v>5</v>
      </c>
      <c r="P554" t="s">
        <v>1696</v>
      </c>
    </row>
    <row r="555" spans="1:16" x14ac:dyDescent="0.3">
      <c r="A555" t="s">
        <v>1546</v>
      </c>
      <c r="B555" s="1">
        <v>45716</v>
      </c>
      <c r="C555" s="2">
        <v>0.85555555555555551</v>
      </c>
      <c r="D555" t="s">
        <v>1547</v>
      </c>
      <c r="E555" t="s">
        <v>45</v>
      </c>
      <c r="F555" t="s">
        <v>1548</v>
      </c>
      <c r="G555">
        <v>1</v>
      </c>
      <c r="H555">
        <v>6.98</v>
      </c>
      <c r="I555">
        <v>6.98</v>
      </c>
      <c r="J555" t="s">
        <v>1205</v>
      </c>
      <c r="K555" t="s">
        <v>481</v>
      </c>
      <c r="L555">
        <v>4</v>
      </c>
      <c r="M555" t="s">
        <v>1681</v>
      </c>
      <c r="N555" t="s">
        <v>1674</v>
      </c>
      <c r="O555">
        <v>2</v>
      </c>
      <c r="P555" t="s">
        <v>1692</v>
      </c>
    </row>
    <row r="556" spans="1:16" x14ac:dyDescent="0.3">
      <c r="A556" t="s">
        <v>1549</v>
      </c>
      <c r="B556" s="1">
        <v>45753</v>
      </c>
      <c r="C556" s="2">
        <v>0.43888888888888888</v>
      </c>
      <c r="D556" t="s">
        <v>1550</v>
      </c>
      <c r="E556" t="s">
        <v>14</v>
      </c>
      <c r="F556" t="s">
        <v>637</v>
      </c>
      <c r="G556">
        <v>6</v>
      </c>
      <c r="H556">
        <v>45.59</v>
      </c>
      <c r="I556">
        <v>273.54000000000002</v>
      </c>
      <c r="J556" t="s">
        <v>1205</v>
      </c>
      <c r="K556" t="s">
        <v>17</v>
      </c>
      <c r="L556">
        <v>1</v>
      </c>
      <c r="M556" t="s">
        <v>1685</v>
      </c>
      <c r="N556" t="s">
        <v>1674</v>
      </c>
      <c r="O556">
        <v>4</v>
      </c>
      <c r="P556" t="s">
        <v>1695</v>
      </c>
    </row>
    <row r="557" spans="1:16" x14ac:dyDescent="0.3">
      <c r="A557" t="s">
        <v>1551</v>
      </c>
      <c r="B557" s="1">
        <v>45710</v>
      </c>
      <c r="C557" s="2">
        <v>0.71875</v>
      </c>
      <c r="D557" t="s">
        <v>1552</v>
      </c>
      <c r="E557" t="s">
        <v>45</v>
      </c>
      <c r="F557" t="s">
        <v>1553</v>
      </c>
      <c r="G557">
        <v>4</v>
      </c>
      <c r="H557">
        <v>27.14</v>
      </c>
      <c r="I557">
        <v>108.56</v>
      </c>
      <c r="J557" t="s">
        <v>1205</v>
      </c>
      <c r="K557" t="s">
        <v>17</v>
      </c>
      <c r="L557">
        <v>3</v>
      </c>
      <c r="M557" t="s">
        <v>1676</v>
      </c>
      <c r="N557" t="s">
        <v>1674</v>
      </c>
      <c r="O557">
        <v>2</v>
      </c>
      <c r="P557" t="s">
        <v>1692</v>
      </c>
    </row>
    <row r="558" spans="1:16" x14ac:dyDescent="0.3">
      <c r="A558" t="s">
        <v>1554</v>
      </c>
      <c r="B558" s="1">
        <v>45809</v>
      </c>
      <c r="C558" s="2">
        <v>0.75208333333333333</v>
      </c>
      <c r="D558" t="s">
        <v>1555</v>
      </c>
      <c r="E558" t="s">
        <v>14</v>
      </c>
      <c r="F558" t="s">
        <v>934</v>
      </c>
      <c r="G558">
        <v>4</v>
      </c>
      <c r="H558">
        <v>34.81</v>
      </c>
      <c r="I558">
        <v>139.24</v>
      </c>
      <c r="J558" t="s">
        <v>1205</v>
      </c>
      <c r="K558" t="s">
        <v>36</v>
      </c>
      <c r="L558">
        <v>3</v>
      </c>
      <c r="M558" t="s">
        <v>1682</v>
      </c>
      <c r="N558" t="s">
        <v>1674</v>
      </c>
      <c r="O558">
        <v>6</v>
      </c>
      <c r="P558" t="s">
        <v>1697</v>
      </c>
    </row>
    <row r="559" spans="1:16" x14ac:dyDescent="0.3">
      <c r="A559" t="s">
        <v>1556</v>
      </c>
      <c r="B559" s="1">
        <v>45727</v>
      </c>
      <c r="C559" s="2">
        <v>0.50277777777777777</v>
      </c>
      <c r="D559" t="s">
        <v>1557</v>
      </c>
      <c r="E559" t="s">
        <v>31</v>
      </c>
      <c r="F559" t="s">
        <v>1558</v>
      </c>
      <c r="G559">
        <v>2</v>
      </c>
      <c r="H559">
        <v>11.13</v>
      </c>
      <c r="I559">
        <v>22.26</v>
      </c>
      <c r="J559" t="s">
        <v>1205</v>
      </c>
      <c r="K559" t="s">
        <v>481</v>
      </c>
      <c r="L559">
        <v>1</v>
      </c>
      <c r="M559" t="s">
        <v>1674</v>
      </c>
      <c r="N559" t="s">
        <v>1674</v>
      </c>
      <c r="O559">
        <v>3</v>
      </c>
      <c r="P559" t="s">
        <v>1693</v>
      </c>
    </row>
    <row r="560" spans="1:16" x14ac:dyDescent="0.3">
      <c r="A560" t="s">
        <v>1559</v>
      </c>
      <c r="B560" s="1">
        <v>45668</v>
      </c>
      <c r="C560" s="2">
        <v>0.53680555555555554</v>
      </c>
      <c r="D560" t="s">
        <v>1560</v>
      </c>
      <c r="E560" t="s">
        <v>20</v>
      </c>
      <c r="F560" t="s">
        <v>989</v>
      </c>
      <c r="G560">
        <v>3</v>
      </c>
      <c r="H560">
        <v>11.67</v>
      </c>
      <c r="I560">
        <v>35.01</v>
      </c>
      <c r="J560" t="s">
        <v>1205</v>
      </c>
      <c r="K560" t="s">
        <v>36</v>
      </c>
      <c r="L560">
        <v>4</v>
      </c>
      <c r="M560" t="s">
        <v>1674</v>
      </c>
      <c r="N560" t="s">
        <v>1674</v>
      </c>
      <c r="O560">
        <v>1</v>
      </c>
      <c r="P560" t="s">
        <v>1694</v>
      </c>
    </row>
    <row r="561" spans="1:16" x14ac:dyDescent="0.3">
      <c r="A561" t="s">
        <v>1561</v>
      </c>
      <c r="B561" s="1">
        <v>45789</v>
      </c>
      <c r="C561" s="2">
        <v>0.40486111111111112</v>
      </c>
      <c r="D561" t="s">
        <v>1562</v>
      </c>
      <c r="E561" t="s">
        <v>14</v>
      </c>
      <c r="F561" t="s">
        <v>1563</v>
      </c>
      <c r="G561">
        <v>3</v>
      </c>
      <c r="H561">
        <v>16.71</v>
      </c>
      <c r="I561">
        <v>50.13</v>
      </c>
      <c r="J561" t="s">
        <v>1205</v>
      </c>
      <c r="K561" t="s">
        <v>36</v>
      </c>
      <c r="L561">
        <v>4</v>
      </c>
      <c r="M561" t="s">
        <v>1679</v>
      </c>
      <c r="N561" t="s">
        <v>1674</v>
      </c>
      <c r="O561">
        <v>5</v>
      </c>
      <c r="P561" t="s">
        <v>1696</v>
      </c>
    </row>
    <row r="562" spans="1:16" x14ac:dyDescent="0.3">
      <c r="A562" t="s">
        <v>1564</v>
      </c>
      <c r="B562" s="1">
        <v>45800</v>
      </c>
      <c r="C562" s="2">
        <v>0.85763888888888884</v>
      </c>
      <c r="D562" t="s">
        <v>1565</v>
      </c>
      <c r="E562" t="s">
        <v>45</v>
      </c>
      <c r="F562" t="s">
        <v>1566</v>
      </c>
      <c r="G562">
        <v>2</v>
      </c>
      <c r="H562">
        <v>9.26</v>
      </c>
      <c r="I562">
        <v>18.52</v>
      </c>
      <c r="J562" t="s">
        <v>1205</v>
      </c>
      <c r="K562" t="s">
        <v>481</v>
      </c>
      <c r="L562">
        <v>1</v>
      </c>
      <c r="M562" t="s">
        <v>1681</v>
      </c>
      <c r="N562" t="s">
        <v>1674</v>
      </c>
      <c r="O562">
        <v>5</v>
      </c>
      <c r="P562" t="s">
        <v>1696</v>
      </c>
    </row>
    <row r="563" spans="1:16" x14ac:dyDescent="0.3">
      <c r="A563" t="s">
        <v>1567</v>
      </c>
      <c r="B563" s="1">
        <v>45807</v>
      </c>
      <c r="C563" s="2">
        <v>0.76111111111111107</v>
      </c>
      <c r="D563" t="s">
        <v>1568</v>
      </c>
      <c r="E563" t="s">
        <v>45</v>
      </c>
      <c r="F563" t="s">
        <v>1569</v>
      </c>
      <c r="G563">
        <v>1</v>
      </c>
      <c r="H563">
        <v>5.98</v>
      </c>
      <c r="I563">
        <v>5.98</v>
      </c>
      <c r="J563" t="s">
        <v>1205</v>
      </c>
      <c r="K563" t="s">
        <v>17</v>
      </c>
      <c r="L563">
        <v>4</v>
      </c>
      <c r="M563" t="s">
        <v>1682</v>
      </c>
      <c r="N563" t="s">
        <v>1674</v>
      </c>
      <c r="O563">
        <v>5</v>
      </c>
      <c r="P563" t="s">
        <v>1696</v>
      </c>
    </row>
    <row r="564" spans="1:16" x14ac:dyDescent="0.3">
      <c r="A564" t="s">
        <v>1570</v>
      </c>
      <c r="B564" s="1">
        <v>45690</v>
      </c>
      <c r="C564" s="2">
        <v>0.45624999999999999</v>
      </c>
      <c r="D564" t="s">
        <v>1571</v>
      </c>
      <c r="E564" t="s">
        <v>35</v>
      </c>
      <c r="F564" t="s">
        <v>1114</v>
      </c>
      <c r="G564">
        <v>3</v>
      </c>
      <c r="H564">
        <v>10.51</v>
      </c>
      <c r="I564">
        <v>31.53</v>
      </c>
      <c r="J564" t="s">
        <v>1205</v>
      </c>
      <c r="K564" t="s">
        <v>481</v>
      </c>
      <c r="L564">
        <v>5</v>
      </c>
      <c r="M564" t="s">
        <v>1685</v>
      </c>
      <c r="N564" t="s">
        <v>1674</v>
      </c>
      <c r="O564">
        <v>2</v>
      </c>
      <c r="P564" t="s">
        <v>1692</v>
      </c>
    </row>
    <row r="565" spans="1:16" x14ac:dyDescent="0.3">
      <c r="A565" t="s">
        <v>1572</v>
      </c>
      <c r="B565" s="1">
        <v>45748</v>
      </c>
      <c r="C565" s="2">
        <v>0.54027777777777775</v>
      </c>
      <c r="D565" t="s">
        <v>1573</v>
      </c>
      <c r="E565" t="s">
        <v>35</v>
      </c>
      <c r="F565" t="s">
        <v>1007</v>
      </c>
      <c r="G565">
        <v>2</v>
      </c>
      <c r="H565">
        <v>17.37</v>
      </c>
      <c r="I565">
        <v>34.74</v>
      </c>
      <c r="J565" t="s">
        <v>1205</v>
      </c>
      <c r="K565" t="s">
        <v>481</v>
      </c>
      <c r="L565">
        <v>5</v>
      </c>
      <c r="M565" t="s">
        <v>1674</v>
      </c>
      <c r="N565" t="s">
        <v>1674</v>
      </c>
      <c r="O565">
        <v>4</v>
      </c>
      <c r="P565" t="s">
        <v>1695</v>
      </c>
    </row>
    <row r="566" spans="1:16" x14ac:dyDescent="0.3">
      <c r="A566" t="s">
        <v>1574</v>
      </c>
      <c r="B566" s="1">
        <v>45729</v>
      </c>
      <c r="C566" s="2">
        <v>0.41041666666666665</v>
      </c>
      <c r="D566" t="s">
        <v>1575</v>
      </c>
      <c r="E566" t="s">
        <v>31</v>
      </c>
      <c r="F566" t="s">
        <v>1407</v>
      </c>
      <c r="G566">
        <v>4</v>
      </c>
      <c r="H566">
        <v>28.82</v>
      </c>
      <c r="I566">
        <v>115.28</v>
      </c>
      <c r="J566" t="s">
        <v>1205</v>
      </c>
      <c r="K566" t="s">
        <v>481</v>
      </c>
      <c r="L566">
        <v>1</v>
      </c>
      <c r="M566" t="s">
        <v>1679</v>
      </c>
      <c r="N566" t="s">
        <v>1674</v>
      </c>
      <c r="O566">
        <v>3</v>
      </c>
      <c r="P566" t="s">
        <v>1693</v>
      </c>
    </row>
    <row r="567" spans="1:16" x14ac:dyDescent="0.3">
      <c r="A567" t="s">
        <v>1576</v>
      </c>
      <c r="B567" s="1">
        <v>45721</v>
      </c>
      <c r="C567" s="2">
        <v>0.80208333333333337</v>
      </c>
      <c r="D567" t="s">
        <v>1577</v>
      </c>
      <c r="E567" t="s">
        <v>20</v>
      </c>
      <c r="F567" t="s">
        <v>1578</v>
      </c>
      <c r="G567">
        <v>3</v>
      </c>
      <c r="H567">
        <v>29.02</v>
      </c>
      <c r="I567">
        <v>87.06</v>
      </c>
      <c r="J567" t="s">
        <v>1205</v>
      </c>
      <c r="K567" t="s">
        <v>481</v>
      </c>
      <c r="L567">
        <v>5</v>
      </c>
      <c r="M567" t="s">
        <v>1683</v>
      </c>
      <c r="N567" t="s">
        <v>1674</v>
      </c>
      <c r="O567">
        <v>3</v>
      </c>
      <c r="P567" t="s">
        <v>1693</v>
      </c>
    </row>
    <row r="568" spans="1:16" x14ac:dyDescent="0.3">
      <c r="A568" t="s">
        <v>1579</v>
      </c>
      <c r="B568" s="1">
        <v>45672</v>
      </c>
      <c r="C568" s="2">
        <v>0.52638888888888891</v>
      </c>
      <c r="D568" t="s">
        <v>1580</v>
      </c>
      <c r="E568" t="s">
        <v>35</v>
      </c>
      <c r="F568" t="s">
        <v>310</v>
      </c>
      <c r="G568">
        <v>2</v>
      </c>
      <c r="H568">
        <v>5.9</v>
      </c>
      <c r="I568">
        <v>11.8</v>
      </c>
      <c r="J568" t="s">
        <v>1205</v>
      </c>
      <c r="K568" t="s">
        <v>36</v>
      </c>
      <c r="L568">
        <v>5</v>
      </c>
      <c r="M568" t="s">
        <v>1674</v>
      </c>
      <c r="N568" t="s">
        <v>1674</v>
      </c>
      <c r="O568">
        <v>1</v>
      </c>
      <c r="P568" t="s">
        <v>1694</v>
      </c>
    </row>
    <row r="569" spans="1:16" x14ac:dyDescent="0.3">
      <c r="A569" t="s">
        <v>1581</v>
      </c>
      <c r="B569" s="1">
        <v>45709</v>
      </c>
      <c r="C569" s="2">
        <v>0.88055555555555554</v>
      </c>
      <c r="D569" t="s">
        <v>1582</v>
      </c>
      <c r="E569" t="s">
        <v>24</v>
      </c>
      <c r="F569" t="s">
        <v>150</v>
      </c>
      <c r="G569">
        <v>3</v>
      </c>
      <c r="H569">
        <v>37.26</v>
      </c>
      <c r="I569">
        <v>111.78</v>
      </c>
      <c r="J569" t="s">
        <v>1205</v>
      </c>
      <c r="K569" t="s">
        <v>481</v>
      </c>
      <c r="L569">
        <v>2</v>
      </c>
      <c r="M569" t="s">
        <v>1686</v>
      </c>
      <c r="N569" t="s">
        <v>1674</v>
      </c>
      <c r="O569">
        <v>2</v>
      </c>
      <c r="P569" t="s">
        <v>1692</v>
      </c>
    </row>
    <row r="570" spans="1:16" x14ac:dyDescent="0.3">
      <c r="A570" t="s">
        <v>1583</v>
      </c>
      <c r="B570" s="1">
        <v>45704</v>
      </c>
      <c r="C570" s="2">
        <v>0.76388888888888884</v>
      </c>
      <c r="D570" t="s">
        <v>1584</v>
      </c>
      <c r="E570" t="s">
        <v>31</v>
      </c>
      <c r="F570" t="s">
        <v>393</v>
      </c>
      <c r="G570">
        <v>5</v>
      </c>
      <c r="H570">
        <v>14.94</v>
      </c>
      <c r="I570">
        <v>74.7</v>
      </c>
      <c r="J570" t="s">
        <v>1205</v>
      </c>
      <c r="K570" t="s">
        <v>36</v>
      </c>
      <c r="L570">
        <v>2</v>
      </c>
      <c r="M570" t="s">
        <v>1682</v>
      </c>
      <c r="N570" t="s">
        <v>1674</v>
      </c>
      <c r="O570">
        <v>2</v>
      </c>
      <c r="P570" t="s">
        <v>1692</v>
      </c>
    </row>
    <row r="571" spans="1:16" x14ac:dyDescent="0.3">
      <c r="A571" t="s">
        <v>1585</v>
      </c>
      <c r="B571" s="1">
        <v>45742</v>
      </c>
      <c r="C571" s="2">
        <v>0.83611111111111114</v>
      </c>
      <c r="D571" t="s">
        <v>1586</v>
      </c>
      <c r="E571" t="s">
        <v>24</v>
      </c>
      <c r="F571" t="s">
        <v>1587</v>
      </c>
      <c r="G571">
        <v>2</v>
      </c>
      <c r="H571">
        <v>20.61</v>
      </c>
      <c r="I571">
        <v>41.22</v>
      </c>
      <c r="J571" t="s">
        <v>1205</v>
      </c>
      <c r="K571" t="s">
        <v>17</v>
      </c>
      <c r="L571">
        <v>1</v>
      </c>
      <c r="M571" t="s">
        <v>1681</v>
      </c>
      <c r="N571" t="s">
        <v>1674</v>
      </c>
      <c r="O571">
        <v>3</v>
      </c>
      <c r="P571" t="s">
        <v>1693</v>
      </c>
    </row>
    <row r="572" spans="1:16" x14ac:dyDescent="0.3">
      <c r="A572" t="s">
        <v>1588</v>
      </c>
      <c r="B572" s="1">
        <v>45829</v>
      </c>
      <c r="C572" s="2">
        <v>0.82361111111111107</v>
      </c>
      <c r="D572" t="s">
        <v>1589</v>
      </c>
      <c r="E572" t="s">
        <v>24</v>
      </c>
      <c r="F572" t="s">
        <v>1590</v>
      </c>
      <c r="G572">
        <v>3</v>
      </c>
      <c r="H572">
        <v>25.1</v>
      </c>
      <c r="I572">
        <v>75.3</v>
      </c>
      <c r="J572" t="s">
        <v>1205</v>
      </c>
      <c r="K572" t="s">
        <v>481</v>
      </c>
      <c r="L572">
        <v>1</v>
      </c>
      <c r="M572" t="s">
        <v>1683</v>
      </c>
      <c r="N572" t="s">
        <v>1674</v>
      </c>
      <c r="O572">
        <v>6</v>
      </c>
      <c r="P572" t="s">
        <v>1697</v>
      </c>
    </row>
    <row r="573" spans="1:16" x14ac:dyDescent="0.3">
      <c r="A573" t="s">
        <v>1591</v>
      </c>
      <c r="B573" s="1">
        <v>45780</v>
      </c>
      <c r="C573" s="2">
        <v>0.91319444444444442</v>
      </c>
      <c r="D573" t="s">
        <v>1592</v>
      </c>
      <c r="E573" t="s">
        <v>20</v>
      </c>
      <c r="F573" t="s">
        <v>710</v>
      </c>
      <c r="G573">
        <v>5</v>
      </c>
      <c r="H573">
        <v>34.29</v>
      </c>
      <c r="I573">
        <v>171.45</v>
      </c>
      <c r="J573" t="s">
        <v>1205</v>
      </c>
      <c r="K573" t="s">
        <v>481</v>
      </c>
      <c r="L573">
        <v>4</v>
      </c>
      <c r="M573" t="s">
        <v>1686</v>
      </c>
      <c r="N573" t="s">
        <v>1674</v>
      </c>
      <c r="O573">
        <v>5</v>
      </c>
      <c r="P573" t="s">
        <v>1696</v>
      </c>
    </row>
    <row r="574" spans="1:16" x14ac:dyDescent="0.3">
      <c r="A574" t="s">
        <v>1593</v>
      </c>
      <c r="B574" s="1">
        <v>45796</v>
      </c>
      <c r="C574" s="2">
        <v>0.5708333333333333</v>
      </c>
      <c r="D574" t="s">
        <v>1594</v>
      </c>
      <c r="E574" t="s">
        <v>45</v>
      </c>
      <c r="F574" t="s">
        <v>1595</v>
      </c>
      <c r="G574">
        <v>3</v>
      </c>
      <c r="H574">
        <v>18.38</v>
      </c>
      <c r="I574">
        <v>55.14</v>
      </c>
      <c r="J574" t="s">
        <v>1205</v>
      </c>
      <c r="K574" t="s">
        <v>36</v>
      </c>
      <c r="L574">
        <v>5</v>
      </c>
      <c r="M574" t="s">
        <v>1688</v>
      </c>
      <c r="N574" t="s">
        <v>1674</v>
      </c>
      <c r="O574">
        <v>5</v>
      </c>
      <c r="P574" t="s">
        <v>1696</v>
      </c>
    </row>
    <row r="575" spans="1:16" x14ac:dyDescent="0.3">
      <c r="A575" t="s">
        <v>1596</v>
      </c>
      <c r="B575" s="1">
        <v>45827</v>
      </c>
      <c r="C575" s="2">
        <v>0.81805555555555554</v>
      </c>
      <c r="D575" t="s">
        <v>1597</v>
      </c>
      <c r="E575" t="s">
        <v>45</v>
      </c>
      <c r="F575" t="s">
        <v>1598</v>
      </c>
      <c r="G575">
        <v>4</v>
      </c>
      <c r="H575">
        <v>13.99</v>
      </c>
      <c r="I575">
        <v>55.96</v>
      </c>
      <c r="J575" t="s">
        <v>1205</v>
      </c>
      <c r="K575" t="s">
        <v>481</v>
      </c>
      <c r="L575">
        <v>3</v>
      </c>
      <c r="M575" t="s">
        <v>1683</v>
      </c>
      <c r="N575" t="s">
        <v>1674</v>
      </c>
      <c r="O575">
        <v>6</v>
      </c>
      <c r="P575" t="s">
        <v>1697</v>
      </c>
    </row>
    <row r="576" spans="1:16" x14ac:dyDescent="0.3">
      <c r="A576" t="s">
        <v>1599</v>
      </c>
      <c r="B576" s="1">
        <v>45804</v>
      </c>
      <c r="C576" s="2">
        <v>0.98124999999999996</v>
      </c>
      <c r="D576" t="s">
        <v>1600</v>
      </c>
      <c r="E576" t="s">
        <v>31</v>
      </c>
      <c r="F576" t="s">
        <v>1548</v>
      </c>
      <c r="G576">
        <v>5</v>
      </c>
      <c r="H576">
        <v>35.49</v>
      </c>
      <c r="I576">
        <v>177.45</v>
      </c>
      <c r="J576" t="s">
        <v>1205</v>
      </c>
      <c r="K576" t="s">
        <v>481</v>
      </c>
      <c r="L576">
        <v>4</v>
      </c>
      <c r="M576" t="s">
        <v>1678</v>
      </c>
      <c r="N576" t="s">
        <v>1674</v>
      </c>
      <c r="O576">
        <v>5</v>
      </c>
      <c r="P576" t="s">
        <v>1696</v>
      </c>
    </row>
    <row r="577" spans="1:16" x14ac:dyDescent="0.3">
      <c r="A577" t="s">
        <v>1601</v>
      </c>
      <c r="B577" s="1">
        <v>45702</v>
      </c>
      <c r="C577" s="2">
        <v>0.46736111111111112</v>
      </c>
      <c r="D577" t="s">
        <v>1602</v>
      </c>
      <c r="E577" t="s">
        <v>35</v>
      </c>
      <c r="F577" t="s">
        <v>1603</v>
      </c>
      <c r="G577">
        <v>2</v>
      </c>
      <c r="H577">
        <v>10.68</v>
      </c>
      <c r="I577">
        <v>21.36</v>
      </c>
      <c r="J577" t="s">
        <v>1205</v>
      </c>
      <c r="K577" t="s">
        <v>17</v>
      </c>
      <c r="L577">
        <v>4</v>
      </c>
      <c r="M577" t="s">
        <v>1675</v>
      </c>
      <c r="N577" t="s">
        <v>1674</v>
      </c>
      <c r="O577">
        <v>2</v>
      </c>
      <c r="P577" t="s">
        <v>1692</v>
      </c>
    </row>
    <row r="578" spans="1:16" x14ac:dyDescent="0.3">
      <c r="A578" t="s">
        <v>1604</v>
      </c>
      <c r="B578" s="1">
        <v>45803</v>
      </c>
      <c r="C578" s="2">
        <v>0.77569444444444446</v>
      </c>
      <c r="D578" t="s">
        <v>1605</v>
      </c>
      <c r="E578" t="s">
        <v>31</v>
      </c>
      <c r="F578" t="s">
        <v>1606</v>
      </c>
      <c r="G578">
        <v>1</v>
      </c>
      <c r="H578">
        <v>46.62</v>
      </c>
      <c r="I578">
        <v>46.62</v>
      </c>
      <c r="J578" t="s">
        <v>1205</v>
      </c>
      <c r="K578" t="s">
        <v>36</v>
      </c>
      <c r="L578">
        <v>5</v>
      </c>
      <c r="M578" t="s">
        <v>1682</v>
      </c>
      <c r="N578" t="s">
        <v>1674</v>
      </c>
      <c r="O578">
        <v>5</v>
      </c>
      <c r="P578" t="s">
        <v>1696</v>
      </c>
    </row>
    <row r="579" spans="1:16" x14ac:dyDescent="0.3">
      <c r="A579" t="s">
        <v>1607</v>
      </c>
      <c r="B579" s="1">
        <v>45761</v>
      </c>
      <c r="C579" s="2">
        <v>0.49236111111111114</v>
      </c>
      <c r="D579" t="s">
        <v>1608</v>
      </c>
      <c r="E579" t="s">
        <v>45</v>
      </c>
      <c r="F579" t="s">
        <v>293</v>
      </c>
      <c r="G579">
        <v>5</v>
      </c>
      <c r="H579">
        <v>44.57</v>
      </c>
      <c r="I579">
        <v>222.85</v>
      </c>
      <c r="J579" t="s">
        <v>1205</v>
      </c>
      <c r="K579" t="s">
        <v>481</v>
      </c>
      <c r="L579">
        <v>2</v>
      </c>
      <c r="M579" t="s">
        <v>1675</v>
      </c>
      <c r="N579" t="s">
        <v>1674</v>
      </c>
      <c r="O579">
        <v>4</v>
      </c>
      <c r="P579" t="s">
        <v>1695</v>
      </c>
    </row>
    <row r="580" spans="1:16" x14ac:dyDescent="0.3">
      <c r="A580" t="s">
        <v>1609</v>
      </c>
      <c r="B580" s="1">
        <v>45746</v>
      </c>
      <c r="C580" s="2">
        <v>0.49513888888888891</v>
      </c>
      <c r="D580" t="s">
        <v>1610</v>
      </c>
      <c r="E580" t="s">
        <v>20</v>
      </c>
      <c r="F580" t="s">
        <v>1611</v>
      </c>
      <c r="G580">
        <v>3</v>
      </c>
      <c r="H580">
        <v>38.700000000000003</v>
      </c>
      <c r="I580">
        <v>116.1</v>
      </c>
      <c r="J580" t="s">
        <v>1205</v>
      </c>
      <c r="K580" t="s">
        <v>36</v>
      </c>
      <c r="L580">
        <v>1</v>
      </c>
      <c r="M580" t="s">
        <v>1675</v>
      </c>
      <c r="N580" t="s">
        <v>1674</v>
      </c>
      <c r="O580">
        <v>3</v>
      </c>
      <c r="P580" t="s">
        <v>1693</v>
      </c>
    </row>
    <row r="581" spans="1:16" x14ac:dyDescent="0.3">
      <c r="A581" t="s">
        <v>1612</v>
      </c>
      <c r="B581" s="1">
        <v>45756</v>
      </c>
      <c r="C581" s="2">
        <v>0.38194444444444442</v>
      </c>
      <c r="D581" t="s">
        <v>1613</v>
      </c>
      <c r="E581" t="s">
        <v>14</v>
      </c>
      <c r="F581" t="s">
        <v>1614</v>
      </c>
      <c r="G581">
        <v>5</v>
      </c>
      <c r="H581">
        <v>40.090000000000003</v>
      </c>
      <c r="I581">
        <v>200.45</v>
      </c>
      <c r="J581" t="s">
        <v>1205</v>
      </c>
      <c r="K581" t="s">
        <v>17</v>
      </c>
      <c r="L581">
        <v>2</v>
      </c>
      <c r="M581" t="s">
        <v>1679</v>
      </c>
      <c r="N581" t="s">
        <v>1674</v>
      </c>
      <c r="O581">
        <v>4</v>
      </c>
      <c r="P581" t="s">
        <v>1695</v>
      </c>
    </row>
    <row r="582" spans="1:16" x14ac:dyDescent="0.3">
      <c r="A582" t="s">
        <v>1615</v>
      </c>
      <c r="B582" s="1">
        <v>45735</v>
      </c>
      <c r="C582" s="2">
        <v>0.81458333333333333</v>
      </c>
      <c r="D582" t="s">
        <v>1616</v>
      </c>
      <c r="E582" t="s">
        <v>45</v>
      </c>
      <c r="F582" t="s">
        <v>1617</v>
      </c>
      <c r="G582">
        <v>5</v>
      </c>
      <c r="H582">
        <v>22.87</v>
      </c>
      <c r="I582">
        <v>114.35</v>
      </c>
      <c r="J582" t="s">
        <v>1205</v>
      </c>
      <c r="K582" t="s">
        <v>17</v>
      </c>
      <c r="L582">
        <v>3</v>
      </c>
      <c r="M582" t="s">
        <v>1683</v>
      </c>
      <c r="N582" t="s">
        <v>1674</v>
      </c>
      <c r="O582">
        <v>3</v>
      </c>
      <c r="P582" t="s">
        <v>1693</v>
      </c>
    </row>
    <row r="583" spans="1:16" x14ac:dyDescent="0.3">
      <c r="A583" t="s">
        <v>1618</v>
      </c>
      <c r="B583" s="1">
        <v>45801</v>
      </c>
      <c r="C583" s="2">
        <v>0.81805555555555554</v>
      </c>
      <c r="D583" t="s">
        <v>1619</v>
      </c>
      <c r="E583" t="s">
        <v>20</v>
      </c>
      <c r="F583" t="s">
        <v>1339</v>
      </c>
      <c r="G583">
        <v>5</v>
      </c>
      <c r="H583">
        <v>17.72</v>
      </c>
      <c r="I583">
        <v>88.6</v>
      </c>
      <c r="J583" t="s">
        <v>1205</v>
      </c>
      <c r="K583" t="s">
        <v>36</v>
      </c>
      <c r="L583">
        <v>1</v>
      </c>
      <c r="M583" t="s">
        <v>1683</v>
      </c>
      <c r="N583" t="s">
        <v>1674</v>
      </c>
      <c r="O583">
        <v>5</v>
      </c>
      <c r="P583" t="s">
        <v>1696</v>
      </c>
    </row>
    <row r="584" spans="1:16" x14ac:dyDescent="0.3">
      <c r="A584" t="s">
        <v>1620</v>
      </c>
      <c r="B584" s="1">
        <v>45757</v>
      </c>
      <c r="C584" s="2">
        <v>0.83472222222222225</v>
      </c>
      <c r="D584" t="s">
        <v>1621</v>
      </c>
      <c r="E584" t="s">
        <v>31</v>
      </c>
      <c r="F584" t="s">
        <v>1622</v>
      </c>
      <c r="G584">
        <v>5</v>
      </c>
      <c r="H584">
        <v>36.86</v>
      </c>
      <c r="I584">
        <v>184.3</v>
      </c>
      <c r="J584" t="s">
        <v>1205</v>
      </c>
      <c r="K584" t="s">
        <v>36</v>
      </c>
      <c r="L584">
        <v>2</v>
      </c>
      <c r="M584" t="s">
        <v>1681</v>
      </c>
      <c r="N584" t="s">
        <v>1674</v>
      </c>
      <c r="O584">
        <v>4</v>
      </c>
      <c r="P584" t="s">
        <v>1695</v>
      </c>
    </row>
    <row r="585" spans="1:16" x14ac:dyDescent="0.3">
      <c r="A585" t="s">
        <v>1623</v>
      </c>
      <c r="B585" s="1">
        <v>45738</v>
      </c>
      <c r="C585" s="2">
        <v>0.79374999999999996</v>
      </c>
      <c r="D585" t="s">
        <v>1624</v>
      </c>
      <c r="E585" t="s">
        <v>14</v>
      </c>
      <c r="F585" t="s">
        <v>661</v>
      </c>
      <c r="G585">
        <v>1</v>
      </c>
      <c r="H585">
        <v>25.34</v>
      </c>
      <c r="I585">
        <v>25.34</v>
      </c>
      <c r="J585" t="s">
        <v>1205</v>
      </c>
      <c r="K585" t="s">
        <v>17</v>
      </c>
      <c r="L585">
        <v>2</v>
      </c>
      <c r="M585" t="s">
        <v>1683</v>
      </c>
      <c r="N585" t="s">
        <v>1674</v>
      </c>
      <c r="O585">
        <v>3</v>
      </c>
      <c r="P585" t="s">
        <v>1693</v>
      </c>
    </row>
    <row r="586" spans="1:16" x14ac:dyDescent="0.3">
      <c r="A586" t="s">
        <v>1625</v>
      </c>
      <c r="B586" s="1">
        <v>45740</v>
      </c>
      <c r="C586" s="2">
        <v>0.91180555555555554</v>
      </c>
      <c r="D586" t="s">
        <v>1626</v>
      </c>
      <c r="E586" t="s">
        <v>20</v>
      </c>
      <c r="F586" t="s">
        <v>1627</v>
      </c>
      <c r="G586">
        <v>5</v>
      </c>
      <c r="H586">
        <v>13.58</v>
      </c>
      <c r="I586">
        <v>67.900000000000006</v>
      </c>
      <c r="J586" t="s">
        <v>1205</v>
      </c>
      <c r="K586" t="s">
        <v>17</v>
      </c>
      <c r="L586">
        <v>2</v>
      </c>
      <c r="M586" t="s">
        <v>1686</v>
      </c>
      <c r="N586" t="s">
        <v>1674</v>
      </c>
      <c r="O586">
        <v>3</v>
      </c>
      <c r="P586" t="s">
        <v>1693</v>
      </c>
    </row>
    <row r="587" spans="1:16" x14ac:dyDescent="0.3">
      <c r="A587" t="s">
        <v>1628</v>
      </c>
      <c r="B587" s="1">
        <v>45821</v>
      </c>
      <c r="C587" s="2">
        <v>0.5756944444444444</v>
      </c>
      <c r="D587" t="s">
        <v>1629</v>
      </c>
      <c r="E587" t="s">
        <v>31</v>
      </c>
      <c r="F587" t="s">
        <v>1630</v>
      </c>
      <c r="G587">
        <v>5</v>
      </c>
      <c r="H587">
        <v>33.04</v>
      </c>
      <c r="I587">
        <v>165.2</v>
      </c>
      <c r="J587" t="s">
        <v>1205</v>
      </c>
      <c r="K587" t="s">
        <v>17</v>
      </c>
      <c r="L587">
        <v>1</v>
      </c>
      <c r="M587" t="s">
        <v>1688</v>
      </c>
      <c r="N587" t="s">
        <v>1674</v>
      </c>
      <c r="O587">
        <v>6</v>
      </c>
      <c r="P587" t="s">
        <v>1697</v>
      </c>
    </row>
    <row r="588" spans="1:16" x14ac:dyDescent="0.3">
      <c r="A588" t="s">
        <v>1631</v>
      </c>
      <c r="B588" s="1">
        <v>45765</v>
      </c>
      <c r="C588" s="2">
        <v>0.95625000000000004</v>
      </c>
      <c r="D588" t="s">
        <v>1632</v>
      </c>
      <c r="E588" t="s">
        <v>31</v>
      </c>
      <c r="F588" t="s">
        <v>1633</v>
      </c>
      <c r="G588">
        <v>1</v>
      </c>
      <c r="H588">
        <v>28.02</v>
      </c>
      <c r="I588">
        <v>28.02</v>
      </c>
      <c r="J588" t="s">
        <v>1205</v>
      </c>
      <c r="K588" t="s">
        <v>36</v>
      </c>
      <c r="L588">
        <v>1</v>
      </c>
      <c r="M588" t="s">
        <v>1680</v>
      </c>
      <c r="N588" t="s">
        <v>1674</v>
      </c>
      <c r="O588">
        <v>4</v>
      </c>
      <c r="P588" t="s">
        <v>1695</v>
      </c>
    </row>
    <row r="589" spans="1:16" x14ac:dyDescent="0.3">
      <c r="A589" t="s">
        <v>1634</v>
      </c>
      <c r="B589" s="1">
        <v>45838</v>
      </c>
      <c r="C589" s="2">
        <v>0.63749999999999996</v>
      </c>
      <c r="D589" t="s">
        <v>1635</v>
      </c>
      <c r="E589" t="s">
        <v>35</v>
      </c>
      <c r="F589" t="s">
        <v>1636</v>
      </c>
      <c r="G589">
        <v>2</v>
      </c>
      <c r="H589">
        <v>6.77</v>
      </c>
      <c r="I589">
        <v>13.54</v>
      </c>
      <c r="J589" t="s">
        <v>1205</v>
      </c>
      <c r="K589" t="s">
        <v>17</v>
      </c>
      <c r="L589">
        <v>4</v>
      </c>
      <c r="M589" t="s">
        <v>1677</v>
      </c>
      <c r="N589" t="s">
        <v>1674</v>
      </c>
      <c r="O589">
        <v>6</v>
      </c>
      <c r="P589" t="s">
        <v>1697</v>
      </c>
    </row>
    <row r="590" spans="1:16" x14ac:dyDescent="0.3">
      <c r="A590" t="s">
        <v>1637</v>
      </c>
      <c r="B590" s="1">
        <v>45696</v>
      </c>
      <c r="C590" s="2">
        <v>0.45069444444444445</v>
      </c>
      <c r="D590" t="s">
        <v>1638</v>
      </c>
      <c r="E590" t="s">
        <v>20</v>
      </c>
      <c r="F590" t="s">
        <v>1138</v>
      </c>
      <c r="G590">
        <v>5</v>
      </c>
      <c r="H590">
        <v>8.3800000000000008</v>
      </c>
      <c r="I590">
        <v>41.9</v>
      </c>
      <c r="J590" t="s">
        <v>1205</v>
      </c>
      <c r="K590" t="s">
        <v>36</v>
      </c>
      <c r="L590">
        <v>2</v>
      </c>
      <c r="M590" t="s">
        <v>1685</v>
      </c>
      <c r="N590" t="s">
        <v>1674</v>
      </c>
      <c r="O590">
        <v>2</v>
      </c>
      <c r="P590" t="s">
        <v>1692</v>
      </c>
    </row>
    <row r="591" spans="1:16" x14ac:dyDescent="0.3">
      <c r="A591" t="s">
        <v>1639</v>
      </c>
      <c r="B591" s="1">
        <v>45774</v>
      </c>
      <c r="C591" s="2">
        <v>0.55277777777777781</v>
      </c>
      <c r="D591" t="s">
        <v>1640</v>
      </c>
      <c r="E591" t="s">
        <v>14</v>
      </c>
      <c r="F591" t="s">
        <v>812</v>
      </c>
      <c r="G591">
        <v>4</v>
      </c>
      <c r="H591">
        <v>7.25</v>
      </c>
      <c r="I591">
        <v>29</v>
      </c>
      <c r="J591" t="s">
        <v>1205</v>
      </c>
      <c r="K591" t="s">
        <v>36</v>
      </c>
      <c r="L591">
        <v>3</v>
      </c>
      <c r="M591" t="s">
        <v>1688</v>
      </c>
      <c r="N591" t="s">
        <v>1674</v>
      </c>
      <c r="O591">
        <v>4</v>
      </c>
      <c r="P591" t="s">
        <v>1695</v>
      </c>
    </row>
    <row r="592" spans="1:16" x14ac:dyDescent="0.3">
      <c r="A592" t="s">
        <v>1641</v>
      </c>
      <c r="B592" s="1">
        <v>45831</v>
      </c>
      <c r="C592" s="2">
        <v>0.6020833333333333</v>
      </c>
      <c r="D592" t="s">
        <v>1642</v>
      </c>
      <c r="E592" t="s">
        <v>45</v>
      </c>
      <c r="F592" t="s">
        <v>1643</v>
      </c>
      <c r="G592">
        <v>6</v>
      </c>
      <c r="H592">
        <v>10.220000000000001</v>
      </c>
      <c r="I592">
        <v>61.32</v>
      </c>
      <c r="J592" t="s">
        <v>1205</v>
      </c>
      <c r="K592" t="s">
        <v>481</v>
      </c>
      <c r="L592">
        <v>2</v>
      </c>
      <c r="M592" t="s">
        <v>1684</v>
      </c>
      <c r="N592" t="s">
        <v>1674</v>
      </c>
      <c r="O592">
        <v>6</v>
      </c>
      <c r="P592" t="s">
        <v>1697</v>
      </c>
    </row>
    <row r="593" spans="1:16" x14ac:dyDescent="0.3">
      <c r="A593" t="s">
        <v>1644</v>
      </c>
      <c r="B593" s="1">
        <v>45696</v>
      </c>
      <c r="C593" s="2">
        <v>0.95277777777777772</v>
      </c>
      <c r="D593" t="s">
        <v>1645</v>
      </c>
      <c r="E593" t="s">
        <v>31</v>
      </c>
      <c r="F593" t="s">
        <v>1646</v>
      </c>
      <c r="G593">
        <v>5</v>
      </c>
      <c r="H593">
        <v>45.14</v>
      </c>
      <c r="I593">
        <v>225.7</v>
      </c>
      <c r="J593" t="s">
        <v>1205</v>
      </c>
      <c r="K593" t="s">
        <v>481</v>
      </c>
      <c r="L593">
        <v>2</v>
      </c>
      <c r="M593" t="s">
        <v>1680</v>
      </c>
      <c r="N593" t="s">
        <v>1674</v>
      </c>
      <c r="O593">
        <v>2</v>
      </c>
      <c r="P593" t="s">
        <v>1692</v>
      </c>
    </row>
    <row r="594" spans="1:16" x14ac:dyDescent="0.3">
      <c r="A594" t="s">
        <v>1647</v>
      </c>
      <c r="B594" s="1">
        <v>45785</v>
      </c>
      <c r="C594" s="2">
        <v>0.8618055555555556</v>
      </c>
      <c r="D594" t="s">
        <v>1648</v>
      </c>
      <c r="E594" t="s">
        <v>35</v>
      </c>
      <c r="F594" t="s">
        <v>1649</v>
      </c>
      <c r="G594">
        <v>1</v>
      </c>
      <c r="H594">
        <v>9.6199999999999992</v>
      </c>
      <c r="I594">
        <v>9.6199999999999992</v>
      </c>
      <c r="J594" t="s">
        <v>1205</v>
      </c>
      <c r="K594" t="s">
        <v>17</v>
      </c>
      <c r="L594">
        <v>5</v>
      </c>
      <c r="M594" t="s">
        <v>1681</v>
      </c>
      <c r="N594" t="s">
        <v>1674</v>
      </c>
      <c r="O594">
        <v>5</v>
      </c>
      <c r="P594" t="s">
        <v>1696</v>
      </c>
    </row>
    <row r="595" spans="1:16" x14ac:dyDescent="0.3">
      <c r="A595" t="s">
        <v>1650</v>
      </c>
      <c r="B595" s="1">
        <v>45710</v>
      </c>
      <c r="C595" s="2">
        <v>0.8208333333333333</v>
      </c>
      <c r="D595" t="s">
        <v>1651</v>
      </c>
      <c r="E595" t="s">
        <v>24</v>
      </c>
      <c r="F595" t="s">
        <v>215</v>
      </c>
      <c r="G595">
        <v>4</v>
      </c>
      <c r="H595">
        <v>47.77</v>
      </c>
      <c r="I595">
        <v>191.08</v>
      </c>
      <c r="J595" t="s">
        <v>1205</v>
      </c>
      <c r="K595" t="s">
        <v>481</v>
      </c>
      <c r="L595">
        <v>4</v>
      </c>
      <c r="M595" t="s">
        <v>1683</v>
      </c>
      <c r="N595" t="s">
        <v>1674</v>
      </c>
      <c r="O595">
        <v>2</v>
      </c>
      <c r="P595" t="s">
        <v>1692</v>
      </c>
    </row>
    <row r="596" spans="1:16" x14ac:dyDescent="0.3">
      <c r="A596" t="s">
        <v>1652</v>
      </c>
      <c r="B596" s="1">
        <v>45685</v>
      </c>
      <c r="C596" s="2">
        <v>0.56874999999999998</v>
      </c>
      <c r="D596" t="s">
        <v>1653</v>
      </c>
      <c r="E596" t="s">
        <v>35</v>
      </c>
      <c r="F596" t="s">
        <v>1654</v>
      </c>
      <c r="G596">
        <v>2</v>
      </c>
      <c r="H596">
        <v>13.44</v>
      </c>
      <c r="I596">
        <v>26.88</v>
      </c>
      <c r="J596" t="s">
        <v>1205</v>
      </c>
      <c r="K596" t="s">
        <v>36</v>
      </c>
      <c r="L596">
        <v>2</v>
      </c>
      <c r="M596" t="s">
        <v>1688</v>
      </c>
      <c r="N596" t="s">
        <v>1674</v>
      </c>
      <c r="O596">
        <v>1</v>
      </c>
      <c r="P596" t="s">
        <v>1694</v>
      </c>
    </row>
    <row r="597" spans="1:16" x14ac:dyDescent="0.3">
      <c r="A597" t="s">
        <v>1655</v>
      </c>
      <c r="B597" s="1">
        <v>45787</v>
      </c>
      <c r="C597" s="2">
        <v>0.97499999999999998</v>
      </c>
      <c r="D597" t="s">
        <v>1656</v>
      </c>
      <c r="E597" t="s">
        <v>20</v>
      </c>
      <c r="F597" t="s">
        <v>1657</v>
      </c>
      <c r="G597">
        <v>4</v>
      </c>
      <c r="H597">
        <v>49.08</v>
      </c>
      <c r="I597">
        <v>196.32</v>
      </c>
      <c r="J597" t="s">
        <v>1205</v>
      </c>
      <c r="K597" t="s">
        <v>36</v>
      </c>
      <c r="L597">
        <v>4</v>
      </c>
      <c r="M597" t="s">
        <v>1678</v>
      </c>
      <c r="N597" t="s">
        <v>1674</v>
      </c>
      <c r="O597">
        <v>5</v>
      </c>
      <c r="P597" t="s">
        <v>1696</v>
      </c>
    </row>
    <row r="598" spans="1:16" x14ac:dyDescent="0.3">
      <c r="A598" t="s">
        <v>1658</v>
      </c>
      <c r="B598" s="1">
        <v>45757</v>
      </c>
      <c r="C598" s="2">
        <v>0.52222222222222225</v>
      </c>
      <c r="D598" t="s">
        <v>1659</v>
      </c>
      <c r="E598" t="s">
        <v>20</v>
      </c>
      <c r="F598" t="s">
        <v>1660</v>
      </c>
      <c r="G598">
        <v>6</v>
      </c>
      <c r="H598">
        <v>17.940000000000001</v>
      </c>
      <c r="I598">
        <v>107.64</v>
      </c>
      <c r="J598" t="s">
        <v>1205</v>
      </c>
      <c r="K598" t="s">
        <v>36</v>
      </c>
      <c r="L598">
        <v>4</v>
      </c>
      <c r="M598" t="s">
        <v>1674</v>
      </c>
      <c r="N598" t="s">
        <v>1674</v>
      </c>
      <c r="O598">
        <v>4</v>
      </c>
      <c r="P598" t="s">
        <v>1695</v>
      </c>
    </row>
    <row r="599" spans="1:16" x14ac:dyDescent="0.3">
      <c r="A599" t="s">
        <v>1661</v>
      </c>
      <c r="B599" s="1">
        <v>45764</v>
      </c>
      <c r="C599" s="2">
        <v>0.90486111111111112</v>
      </c>
      <c r="D599" t="s">
        <v>1662</v>
      </c>
      <c r="E599" t="s">
        <v>45</v>
      </c>
      <c r="F599" t="s">
        <v>1663</v>
      </c>
      <c r="G599">
        <v>3</v>
      </c>
      <c r="H599">
        <v>48.46</v>
      </c>
      <c r="I599">
        <v>145.38</v>
      </c>
      <c r="J599" t="s">
        <v>1205</v>
      </c>
      <c r="K599" t="s">
        <v>17</v>
      </c>
      <c r="L599">
        <v>3</v>
      </c>
      <c r="M599" t="s">
        <v>1686</v>
      </c>
      <c r="N599" t="s">
        <v>1674</v>
      </c>
      <c r="O599">
        <v>4</v>
      </c>
      <c r="P599" t="s">
        <v>1695</v>
      </c>
    </row>
    <row r="600" spans="1:16" x14ac:dyDescent="0.3">
      <c r="A600" t="s">
        <v>1664</v>
      </c>
      <c r="B600" s="1">
        <v>45808</v>
      </c>
      <c r="C600" s="2">
        <v>0.74097222222222225</v>
      </c>
      <c r="D600" t="s">
        <v>1665</v>
      </c>
      <c r="E600" t="s">
        <v>20</v>
      </c>
      <c r="F600" t="s">
        <v>949</v>
      </c>
      <c r="G600">
        <v>5</v>
      </c>
      <c r="H600">
        <v>13.84</v>
      </c>
      <c r="I600">
        <v>69.2</v>
      </c>
      <c r="J600" t="s">
        <v>1205</v>
      </c>
      <c r="K600" t="s">
        <v>36</v>
      </c>
      <c r="L600">
        <v>4</v>
      </c>
      <c r="M600" t="s">
        <v>1676</v>
      </c>
      <c r="N600" t="s">
        <v>1674</v>
      </c>
      <c r="O600">
        <v>5</v>
      </c>
      <c r="P600" t="s">
        <v>1696</v>
      </c>
    </row>
    <row r="601" spans="1:16" x14ac:dyDescent="0.3">
      <c r="A601" t="s">
        <v>1666</v>
      </c>
      <c r="B601" s="1">
        <v>45782</v>
      </c>
      <c r="C601" s="2">
        <v>0.38750000000000001</v>
      </c>
      <c r="D601" t="s">
        <v>1667</v>
      </c>
      <c r="E601" t="s">
        <v>31</v>
      </c>
      <c r="F601" t="s">
        <v>1668</v>
      </c>
      <c r="G601">
        <v>6</v>
      </c>
      <c r="H601">
        <v>13.66</v>
      </c>
      <c r="I601">
        <v>81.96</v>
      </c>
      <c r="J601" t="s">
        <v>1205</v>
      </c>
      <c r="K601" t="s">
        <v>481</v>
      </c>
      <c r="L601">
        <v>2</v>
      </c>
      <c r="M601" t="s">
        <v>1679</v>
      </c>
      <c r="N601" t="s">
        <v>1674</v>
      </c>
      <c r="O601">
        <v>5</v>
      </c>
      <c r="P601" t="s">
        <v>1696</v>
      </c>
    </row>
    <row r="602" spans="1:16" x14ac:dyDescent="0.3">
      <c r="A602">
        <f>COUNTA(A2:A600)</f>
        <v>599</v>
      </c>
      <c r="B602" s="1"/>
      <c r="C602" s="2"/>
      <c r="G602">
        <f>SUM(G2:G600)</f>
        <v>2122</v>
      </c>
      <c r="I602">
        <f>SUM(I2:I600)</f>
        <v>58213.39</v>
      </c>
      <c r="L602">
        <f>AVERAGE(L2:L600)</f>
        <v>2.9465776293823041</v>
      </c>
    </row>
    <row r="605" spans="1:16" x14ac:dyDescent="0.3">
      <c r="D605" t="s">
        <v>1699</v>
      </c>
    </row>
    <row r="606" spans="1:16" x14ac:dyDescent="0.3">
      <c r="D606">
        <f>Restaurant_Data[[#Totals],[Total_Sales]]/Restaurant_Data[[#Totals],[Order_ID]]</f>
        <v>97.184290484140234</v>
      </c>
    </row>
  </sheetData>
  <phoneticPr fontId="1" type="noConversion"/>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ADB3-3318-4009-B6A2-1A7287FD5175}">
  <dimension ref="S28"/>
  <sheetViews>
    <sheetView topLeftCell="A23" zoomScale="46" zoomScaleNormal="126" workbookViewId="0">
      <selection activeCell="AT68" sqref="AT68"/>
    </sheetView>
  </sheetViews>
  <sheetFormatPr defaultRowHeight="14.4" x14ac:dyDescent="0.3"/>
  <cols>
    <col min="1" max="16384" width="8.88671875" style="5"/>
  </cols>
  <sheetData>
    <row r="28" spans="19:19" x14ac:dyDescent="0.3">
      <c r="S2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E7FEBC-38B7-416D-97D9-275C905563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Restaurant-Data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UMMADISETTI MOUNIKA</dc:creator>
  <cp:lastModifiedBy>UMMADISETTI MOUNIKA</cp:lastModifiedBy>
  <dcterms:created xsi:type="dcterms:W3CDTF">2026-05-12T11:58:47Z</dcterms:created>
  <dcterms:modified xsi:type="dcterms:W3CDTF">2026-05-28T13:03:00Z</dcterms:modified>
</cp:coreProperties>
</file>